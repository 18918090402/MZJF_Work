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6990" firstSheet="4" activeTab="4"/>
  </bookViews>
  <sheets>
    <sheet name="Sheet1" sheetId="1" state="hidden" r:id="rId1"/>
    <sheet name="Sheet3" sheetId="3" state="hidden" r:id="rId2"/>
    <sheet name="业务流程 (2)" sheetId="9" state="hidden" r:id="rId3"/>
    <sheet name="数据表" sheetId="5" state="hidden" r:id="rId4"/>
    <sheet name="业务流程" sheetId="6" r:id="rId5"/>
    <sheet name="Sheet5" sheetId="8" state="hidden" r:id="rId6"/>
    <sheet name="资金账户" sheetId="10" r:id="rId7"/>
    <sheet name="计划类产品" sheetId="7" r:id="rId8"/>
  </sheets>
  <definedNames>
    <definedName name="_xlnm._FilterDatabase" localSheetId="1" hidden="1">Sheet3!$A$1:$G$757</definedName>
    <definedName name="_xlnm._FilterDatabase" localSheetId="3" hidden="1">数据表!$A$1:$H$631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6" l="1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4" i="6"/>
  <c r="H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4" i="6"/>
</calcChain>
</file>

<file path=xl/sharedStrings.xml><?xml version="1.0" encoding="utf-8"?>
<sst xmlns="http://schemas.openxmlformats.org/spreadsheetml/2006/main" count="6157" uniqueCount="1448">
  <si>
    <t>流程</t>
    <phoneticPr fontId="1" type="noConversion"/>
  </si>
  <si>
    <t>表</t>
    <phoneticPr fontId="1" type="noConversion"/>
  </si>
  <si>
    <t>描述</t>
    <phoneticPr fontId="1" type="noConversion"/>
  </si>
  <si>
    <t>system_sms_log</t>
  </si>
  <si>
    <t>短信发送日志表</t>
  </si>
  <si>
    <t>数据库</t>
  </si>
  <si>
    <t>数据库</t>
    <phoneticPr fontId="1" type="noConversion"/>
  </si>
  <si>
    <t>db_nono</t>
  </si>
  <si>
    <t>db_nono</t>
    <phoneticPr fontId="1" type="noConversion"/>
  </si>
  <si>
    <t>短信验证</t>
    <phoneticPr fontId="1" type="noConversion"/>
  </si>
  <si>
    <t>sms_channel_info</t>
  </si>
  <si>
    <t>短信通道维表</t>
    <phoneticPr fontId="1" type="noConversion"/>
  </si>
  <si>
    <t>sms_task</t>
  </si>
  <si>
    <t>sms_task_detail</t>
  </si>
  <si>
    <t>后台定时短信任务</t>
    <phoneticPr fontId="1" type="noConversion"/>
  </si>
  <si>
    <t>后台定时短信任务明细</t>
    <phoneticPr fontId="1" type="noConversion"/>
  </si>
  <si>
    <t>用户注册</t>
    <phoneticPr fontId="1" type="noConversion"/>
  </si>
  <si>
    <t>nn</t>
    <phoneticPr fontId="1" type="noConversion"/>
  </si>
  <si>
    <t>csyy</t>
    <phoneticPr fontId="1" type="noConversion"/>
  </si>
  <si>
    <t>mxd</t>
    <phoneticPr fontId="1" type="noConversion"/>
  </si>
  <si>
    <t>dfd</t>
    <phoneticPr fontId="1" type="noConversion"/>
  </si>
  <si>
    <t>unifi</t>
    <phoneticPr fontId="1" type="noConversion"/>
  </si>
  <si>
    <t>maiya</t>
    <phoneticPr fontId="1" type="noConversion"/>
  </si>
  <si>
    <t>user_info</t>
  </si>
  <si>
    <t>用户基本信息</t>
  </si>
  <si>
    <t>user_info_detail</t>
  </si>
  <si>
    <t>用户详细信息</t>
  </si>
  <si>
    <t>备注</t>
    <phoneticPr fontId="1" type="noConversion"/>
  </si>
  <si>
    <t>促销</t>
    <phoneticPr fontId="1" type="noConversion"/>
  </si>
  <si>
    <t>表名</t>
  </si>
  <si>
    <t>表格描述</t>
  </si>
  <si>
    <t>行数</t>
  </si>
  <si>
    <t>创建时间</t>
  </si>
  <si>
    <t>人工备注</t>
  </si>
  <si>
    <t>新增行数</t>
  </si>
  <si>
    <t>InterestrateCut_template</t>
  </si>
  <si>
    <t>减息券的模板</t>
  </si>
  <si>
    <t>MGT_ORG</t>
  </si>
  <si>
    <t/>
  </si>
  <si>
    <t>MGT_RESOURCE</t>
  </si>
  <si>
    <t>MGT_ROLE</t>
  </si>
  <si>
    <t>MGT_ROLE_RESOURCE</t>
  </si>
  <si>
    <t>MGT_USER</t>
  </si>
  <si>
    <t>MGT_USER_ROLE</t>
  </si>
  <si>
    <t>QRTZ_BLOB_TRIGGERS</t>
  </si>
  <si>
    <t>QRTZ_CALENDARS</t>
  </si>
  <si>
    <t>QRTZ_CRON_TRIGGERS</t>
  </si>
  <si>
    <t>QRTZ_FIRED_TRIGGERS</t>
  </si>
  <si>
    <t>QRTZ_JOB_DETAILS</t>
  </si>
  <si>
    <t>QRTZ_LOCKS</t>
  </si>
  <si>
    <t>QRTZ_PAUSED_TRIGGER_GRPS</t>
  </si>
  <si>
    <t>QRTZ_SCHEDULER_STATE</t>
  </si>
  <si>
    <t>QRTZ_SIMPLE_TRIGGERS</t>
  </si>
  <si>
    <t>QRTZ_SIMPROP_TRIGGERS</t>
  </si>
  <si>
    <t>QRTZ_TRIGGERS</t>
  </si>
  <si>
    <t>SCHEDULE_JOB</t>
  </si>
  <si>
    <t>WeiXin_Qr_Code</t>
  </si>
  <si>
    <t>微信二维码</t>
  </si>
  <si>
    <t>account_relation</t>
  </si>
  <si>
    <t>action_log</t>
  </si>
  <si>
    <t>操作日志表</t>
  </si>
  <si>
    <t>activity</t>
  </si>
  <si>
    <t>活动表</t>
  </si>
  <si>
    <t>activity_access_log</t>
  </si>
  <si>
    <t>活动日志表</t>
  </si>
  <si>
    <t>财运活动表</t>
  </si>
  <si>
    <t>activity_begging</t>
  </si>
  <si>
    <t>activity_begging_details</t>
  </si>
  <si>
    <t>activity_goods</t>
  </si>
  <si>
    <t>活动商品表</t>
  </si>
  <si>
    <t>activity_goods_log</t>
  </si>
  <si>
    <t>商品库存修改记录表</t>
  </si>
  <si>
    <t>activity_interest</t>
  </si>
  <si>
    <t>活动收益表</t>
  </si>
  <si>
    <t>大房东加息结果</t>
  </si>
  <si>
    <t>activity_interest_details</t>
  </si>
  <si>
    <t>活动收益详细信息表</t>
  </si>
  <si>
    <t>大房东加息详情</t>
  </si>
  <si>
    <t>activity_interest_topic</t>
  </si>
  <si>
    <t>活动页猜你感兴趣话题</t>
  </si>
  <si>
    <t>activity_messages</t>
  </si>
  <si>
    <t>活动消息表</t>
  </si>
  <si>
    <t>每月精选收益短信发送记录</t>
  </si>
  <si>
    <t>activity_mobiles</t>
  </si>
  <si>
    <t>活动手机号表</t>
  </si>
  <si>
    <t>手机验证发送注册页</t>
  </si>
  <si>
    <t>activity_nbparty_user_info</t>
  </si>
  <si>
    <t>activity_point_log</t>
  </si>
  <si>
    <t>activity_point_log_back</t>
  </si>
  <si>
    <t>activity_prize_gain_list</t>
  </si>
  <si>
    <t>activity_prize_gain_list_back</t>
  </si>
  <si>
    <t>activity_prize_list</t>
  </si>
  <si>
    <t>活动送礼表</t>
  </si>
  <si>
    <t>activity_prolocutor</t>
  </si>
  <si>
    <t>镑客大使表(原表名prolocutor)</t>
  </si>
  <si>
    <t>activity_prolocutor_code</t>
  </si>
  <si>
    <t>activity_prolocutor_data</t>
  </si>
  <si>
    <t>镑客大使数据表(原表名prolocutor_data)</t>
  </si>
  <si>
    <t>activity_red_packet</t>
  </si>
  <si>
    <t>红包记录表</t>
  </si>
  <si>
    <t>activity_red_packet_gain_log</t>
  </si>
  <si>
    <t>红包领取记录表</t>
  </si>
  <si>
    <t>activity_red_packet_resend_log</t>
  </si>
  <si>
    <t>红包复发记录表</t>
  </si>
  <si>
    <t>activity_redrain</t>
  </si>
  <si>
    <t>红包雨表</t>
  </si>
  <si>
    <t>客户获取红包总表</t>
  </si>
  <si>
    <t>activity_redrain_details</t>
  </si>
  <si>
    <t>红包雨详细信息表</t>
  </si>
  <si>
    <t>客户获取红包详情表</t>
  </si>
  <si>
    <t>activity_redrain_mobiles</t>
  </si>
  <si>
    <t>qq红包活动用户手机号记录(原表名qq_activity_mobiles)</t>
  </si>
  <si>
    <t>activity_seven_years_account</t>
  </si>
  <si>
    <t>7周年活动用户账单表</t>
  </si>
  <si>
    <t>activity_seven_years_percent_line</t>
  </si>
  <si>
    <t>七周年用户投资百分比达标线</t>
  </si>
  <si>
    <t>activity_statistic</t>
  </si>
  <si>
    <t>活动统计表</t>
  </si>
  <si>
    <t>客户推荐链接点击客户ip信息</t>
  </si>
  <si>
    <t>activity_user_goods</t>
  </si>
  <si>
    <t>用户领取活动商品表</t>
  </si>
  <si>
    <t>activity_vip</t>
  </si>
  <si>
    <t>超镑活动表原表名：chaobang</t>
  </si>
  <si>
    <t>activity_vip_label</t>
  </si>
  <si>
    <t>超镑标签表原表名：chaobang_label</t>
  </si>
  <si>
    <t>activity_vip_physicalgoods</t>
  </si>
  <si>
    <t>超镑实物奖表原表名：chaobang_physicalgoods</t>
  </si>
  <si>
    <t>activity_vip_physicalgoods_info</t>
  </si>
  <si>
    <t>超镑实物奖详情表原表名：chaobang_physicalgoods_info</t>
  </si>
  <si>
    <t>activity_vip_praise_log</t>
  </si>
  <si>
    <t>商品点赞日志</t>
  </si>
  <si>
    <t>activity_vip_service</t>
  </si>
  <si>
    <t>超镑服务表原表名：chaobang_service</t>
  </si>
  <si>
    <t>activity_vip_service_info</t>
  </si>
  <si>
    <t>超镑服务详情表原表名：chaobang_service_info</t>
  </si>
  <si>
    <t>activity_vip_virtualgoods</t>
  </si>
  <si>
    <t>超镑虚拟奖品表原表名：chaobang_virtualgoods</t>
  </si>
  <si>
    <t>activity_wdybm_info</t>
  </si>
  <si>
    <t>微电影报名活动表</t>
  </si>
  <si>
    <t>activity_youmi</t>
  </si>
  <si>
    <t>优米(原表名youmi_logyoumi)</t>
  </si>
  <si>
    <t>activity_youmi_action</t>
  </si>
  <si>
    <t>优米行为(原表名youmi_logyoumi_action)</t>
  </si>
  <si>
    <t>activity_youmi_log</t>
  </si>
  <si>
    <t>优米日志表(原表名youmi_log)</t>
  </si>
  <si>
    <t>admin</t>
  </si>
  <si>
    <t>管理员表</t>
  </si>
  <si>
    <t>后台人员及渠道id信息表</t>
  </si>
  <si>
    <t>admin_action_log</t>
  </si>
  <si>
    <t>登录记录表</t>
  </si>
  <si>
    <t>后台管理及渠道id登陆日志</t>
  </si>
  <si>
    <t>admin_advisor_conf</t>
  </si>
  <si>
    <t>财富顾问关联用户限制表(原表名members_caifu)</t>
  </si>
  <si>
    <t>admin_calendar</t>
  </si>
  <si>
    <t>员工排班表</t>
  </si>
  <si>
    <t>admin_department</t>
  </si>
  <si>
    <t>部门表</t>
  </si>
  <si>
    <t>后台人员所属部门表</t>
  </si>
  <si>
    <t>admin_ip_blacklist</t>
  </si>
  <si>
    <t>禁用IP列表</t>
  </si>
  <si>
    <t>admin_ip_limit</t>
  </si>
  <si>
    <t>ip限制表</t>
  </si>
  <si>
    <t>后台直接登陆IP限制表</t>
  </si>
  <si>
    <t>admin_menu_modules</t>
  </si>
  <si>
    <t>菜单关联表</t>
  </si>
  <si>
    <t>admin_menus</t>
  </si>
  <si>
    <t>菜单表</t>
  </si>
  <si>
    <t>admin_operation</t>
  </si>
  <si>
    <t>管理员操作表</t>
  </si>
  <si>
    <t>admin_qa_answers</t>
  </si>
  <si>
    <t>问题回答表(原表名answers)</t>
  </si>
  <si>
    <t>admin_qa_questions</t>
  </si>
  <si>
    <t>问题表(原表名questions)</t>
  </si>
  <si>
    <t>admin_role</t>
  </si>
  <si>
    <t>角色表</t>
  </si>
  <si>
    <t>admin_work_remark</t>
  </si>
  <si>
    <t>管理员备注表</t>
  </si>
  <si>
    <t>后台人员工作备注; InnoDB free: 77824 kB</t>
  </si>
  <si>
    <t>america_region</t>
  </si>
  <si>
    <t>美国行政区划</t>
  </si>
  <si>
    <t>america_school</t>
  </si>
  <si>
    <t>美国学校信息表</t>
  </si>
  <si>
    <t>analyse_calendar</t>
  </si>
  <si>
    <t>analyse_licai</t>
  </si>
  <si>
    <t>app</t>
  </si>
  <si>
    <t>app信息</t>
  </si>
  <si>
    <t>app_pic</t>
  </si>
  <si>
    <t>app 图片表</t>
  </si>
  <si>
    <t>app_system</t>
  </si>
  <si>
    <t>app设备记录表</t>
  </si>
  <si>
    <t>app_upload_files</t>
  </si>
  <si>
    <t>app附件上传记录表</t>
  </si>
  <si>
    <t>客户app上传资料</t>
  </si>
  <si>
    <t>app_version</t>
  </si>
  <si>
    <t>app版本信息表</t>
  </si>
  <si>
    <t>app_visit_record</t>
  </si>
  <si>
    <t>app设备访问记录表</t>
  </si>
  <si>
    <t>articles</t>
  </si>
  <si>
    <t>资讯表</t>
  </si>
  <si>
    <t>文章表</t>
  </si>
  <si>
    <t>articles_cat</t>
  </si>
  <si>
    <t>资讯分类表</t>
  </si>
  <si>
    <t>authen_author_log</t>
  </si>
  <si>
    <t>开通鉴权表</t>
  </si>
  <si>
    <t>authentication_htsb</t>
  </si>
  <si>
    <t>活体识别日志表(原表名borrows_prepare)</t>
  </si>
  <si>
    <t>authentication_htsb_log</t>
  </si>
  <si>
    <t>活体识别日志表(原表名htsb_log)</t>
  </si>
  <si>
    <t>autobid_log</t>
  </si>
  <si>
    <t>精选&amp;散投自动投标日志表</t>
  </si>
  <si>
    <t>自动投标日志表</t>
  </si>
  <si>
    <t>ba_trigger_delta</t>
  </si>
  <si>
    <t>bank</t>
  </si>
  <si>
    <t>银行省份关联表</t>
  </si>
  <si>
    <t>bank_card_info</t>
  </si>
  <si>
    <t>银行卡信息表(原表名bank_info)</t>
  </si>
  <si>
    <t>bank_code</t>
  </si>
  <si>
    <t>镑客码 对应原数据库bankcode</t>
  </si>
  <si>
    <t>bank_code_model</t>
  </si>
  <si>
    <t>镑客码模板表</t>
  </si>
  <si>
    <t>bank_code_relation</t>
  </si>
  <si>
    <t>bank_info</t>
  </si>
  <si>
    <t>银行信息表(原表名bank_info_address)</t>
  </si>
  <si>
    <t>bank_payment_warning</t>
  </si>
  <si>
    <t>bill</t>
  </si>
  <si>
    <t>账单表，计算所有人的账单</t>
  </si>
  <si>
    <t>bill_recharges</t>
  </si>
  <si>
    <t>快钱充值流水记录表</t>
  </si>
  <si>
    <t>bill_repayment_history</t>
  </si>
  <si>
    <t>账单还款记录表，每还一次款会在这里生成一条记录</t>
  </si>
  <si>
    <t>bill_wechat_pre</t>
  </si>
  <si>
    <t>0元付账单微信二维码预支付参数表</t>
  </si>
  <si>
    <t>bkds_temporary</t>
  </si>
  <si>
    <t>black_gray_becheck_list</t>
  </si>
  <si>
    <t>反欺诈黑灰名待复核库</t>
  </si>
  <si>
    <t>black_gray_check_log</t>
  </si>
  <si>
    <t>反欺诈待复核操作日志</t>
  </si>
  <si>
    <t>black_gray_list</t>
  </si>
  <si>
    <t>反欺诈黑灰名单库,用于存储欺诈 逾期 失信的用户</t>
  </si>
  <si>
    <t>black_gray_rule</t>
  </si>
  <si>
    <t>blacklist</t>
  </si>
  <si>
    <t>黑名单</t>
  </si>
  <si>
    <t>blb_province_threshold</t>
  </si>
  <si>
    <t>白领包省市阀值表</t>
  </si>
  <si>
    <t>blb_student_school</t>
  </si>
  <si>
    <t>白领包学校信息表</t>
  </si>
  <si>
    <t>bonus_template</t>
  </si>
  <si>
    <t>borrows</t>
  </si>
  <si>
    <t>借款表</t>
  </si>
  <si>
    <t>borrows_accept</t>
  </si>
  <si>
    <t>借出者收款表</t>
  </si>
  <si>
    <t>borrows_accept_delta</t>
  </si>
  <si>
    <t>borrows_accept_log</t>
  </si>
  <si>
    <t>借出者收款表日志表，保存ba版本快照</t>
  </si>
  <si>
    <t>borrows_agreement</t>
  </si>
  <si>
    <t>借款协议数据表</t>
  </si>
  <si>
    <t>borrows_archive</t>
  </si>
  <si>
    <t>认证表</t>
  </si>
  <si>
    <t>借款存档表（担保、视频认证）</t>
  </si>
  <si>
    <t>borrows_autobidder</t>
  </si>
  <si>
    <t>散投自动投标器表</t>
  </si>
  <si>
    <t>borrows_bidding</t>
  </si>
  <si>
    <t>投标表</t>
  </si>
  <si>
    <t>散投投资订单表</t>
  </si>
  <si>
    <t>borrows_collateral_attaches</t>
  </si>
  <si>
    <t>抵押物附件表 原表collateral_attaches</t>
  </si>
  <si>
    <t>borrows_collateral_detail</t>
  </si>
  <si>
    <t>抵押物详情表 原表collateral_detail</t>
  </si>
  <si>
    <t>borrows_collateral_status</t>
  </si>
  <si>
    <t>抵押物状态表 原表collateral_status</t>
  </si>
  <si>
    <t>borrows_comment</t>
  </si>
  <si>
    <t>借款留言</t>
  </si>
  <si>
    <t>borrows_consulted_fee</t>
  </si>
  <si>
    <t>咨询费表</t>
  </si>
  <si>
    <t>borrows_dunning</t>
  </si>
  <si>
    <t>会员催收表 原表user_dunning</t>
  </si>
  <si>
    <t>borrows_dunning_contact</t>
  </si>
  <si>
    <t>会员联系人表 原表members_dunning_contact</t>
  </si>
  <si>
    <t>borrows_dunning_content</t>
  </si>
  <si>
    <t>会员催收内容表 原表members_dunning_content</t>
  </si>
  <si>
    <t>borrows_dunning_record</t>
  </si>
  <si>
    <t>会员催收记录表 原表members_dunning_record</t>
  </si>
  <si>
    <t>borrows_guarantee</t>
  </si>
  <si>
    <t>借入者代偿表</t>
  </si>
  <si>
    <t>担保人担保存款列表</t>
  </si>
  <si>
    <t>borrows_guarantee_fee</t>
  </si>
  <si>
    <t>反担保费表 old table:finance_guarantee_detail</t>
  </si>
  <si>
    <t>borrows_guarantor</t>
  </si>
  <si>
    <t>担保人表</t>
  </si>
  <si>
    <t>borrows_house_plegde</t>
  </si>
  <si>
    <t>借款房产抵押信息</t>
  </si>
  <si>
    <t>borrows_loan</t>
  </si>
  <si>
    <t>进件 old table:members_loan</t>
  </si>
  <si>
    <t>borrows_log</t>
  </si>
  <si>
    <t>借款申请日志</t>
  </si>
  <si>
    <t>borrows_outsource_dunning</t>
  </si>
  <si>
    <t>会员委外催收 原表members_outsource_dunning</t>
  </si>
  <si>
    <t>borrows_outsource_dunning_company</t>
  </si>
  <si>
    <t>委外催收公司 原表outsource_dunning_company</t>
  </si>
  <si>
    <t>borrows_prepare</t>
  </si>
  <si>
    <t>预发标</t>
  </si>
  <si>
    <t>预借款表</t>
  </si>
  <si>
    <t>borrows_prepare_audit</t>
  </si>
  <si>
    <t>borrows_prepare_audit_info</t>
  </si>
  <si>
    <t>borrows_prepare_ext</t>
  </si>
  <si>
    <t>预发标配置表</t>
  </si>
  <si>
    <t>borrows_proxy</t>
  </si>
  <si>
    <t>代理商表</t>
  </si>
  <si>
    <t>borrows_raise</t>
  </si>
  <si>
    <t>borrows_repayment</t>
  </si>
  <si>
    <t>借入者还款表</t>
  </si>
  <si>
    <t>borrows_repayment_queue</t>
  </si>
  <si>
    <t>借入者还款队列表</t>
  </si>
  <si>
    <t>borrows_repeat_data</t>
  </si>
  <si>
    <t>消金重复订单处理标</t>
  </si>
  <si>
    <t>borrows_special_expect</t>
  </si>
  <si>
    <t>特殊期限还款表</t>
  </si>
  <si>
    <t>borrows_student_audit</t>
  </si>
  <si>
    <t>old table:student_audit</t>
  </si>
  <si>
    <t>cache_queue</t>
  </si>
  <si>
    <t>缓存队列表</t>
  </si>
  <si>
    <t>campus_embassage</t>
  </si>
  <si>
    <t>campus_relation</t>
  </si>
  <si>
    <t>channel</t>
  </si>
  <si>
    <t>渠道表</t>
  </si>
  <si>
    <t>channel_relation</t>
  </si>
  <si>
    <t>子渠道配置表(原表名admin_belongs)</t>
  </si>
  <si>
    <t>coin_log</t>
  </si>
  <si>
    <t>诺币发送使用日志表 对应原数据库nonocoin_log</t>
  </si>
  <si>
    <t>coin_type</t>
  </si>
  <si>
    <t>诺币类型 对应原数据库nonocoin_action_type</t>
  </si>
  <si>
    <t>common_coupon</t>
  </si>
  <si>
    <t>通用券列表</t>
  </si>
  <si>
    <t>common_coupon_template</t>
  </si>
  <si>
    <t>通用券模板</t>
  </si>
  <si>
    <t>compact_files</t>
  </si>
  <si>
    <t>压缩文件表</t>
  </si>
  <si>
    <t>精选协议书</t>
  </si>
  <si>
    <t>company</t>
  </si>
  <si>
    <t>企业信息导出、导入表</t>
  </si>
  <si>
    <t>company_stockholder</t>
  </si>
  <si>
    <t>公司股权表</t>
  </si>
  <si>
    <t>county_idnum_list</t>
  </si>
  <si>
    <t>区域身份证号码表</t>
  </si>
  <si>
    <t>coupon_template</t>
  </si>
  <si>
    <t>现金券/加息券模板 对应原数据库user_vouchers_model</t>
  </si>
  <si>
    <t>coupon_use</t>
  </si>
  <si>
    <t>券的使用情况，原表increase_revenue</t>
  </si>
  <si>
    <t>cps_push_log</t>
  </si>
  <si>
    <t>cps-推送日志表</t>
  </si>
  <si>
    <t>credit_account</t>
  </si>
  <si>
    <t>信用账户表</t>
  </si>
  <si>
    <t>credit_consume_log</t>
  </si>
  <si>
    <t>信用消费记录表</t>
  </si>
  <si>
    <t>credit_contract</t>
  </si>
  <si>
    <t>信用协议表，记录所有人的每期的信用协议</t>
  </si>
  <si>
    <t>credit_user_htsb_info</t>
  </si>
  <si>
    <t>用户活体识别信息产品表</t>
  </si>
  <si>
    <t>csyy_debt_log</t>
  </si>
  <si>
    <t>csyy_plan</t>
  </si>
  <si>
    <t>财神爷爷发布记录表</t>
  </si>
  <si>
    <t>data_dict</t>
  </si>
  <si>
    <t>字典表</t>
  </si>
  <si>
    <t>db_upgrade_compare</t>
  </si>
  <si>
    <t>debt_accept</t>
  </si>
  <si>
    <t>债转收款表（只支持e诺千金）</t>
  </si>
  <si>
    <t>债券收款表</t>
  </si>
  <si>
    <t>debt_account</t>
  </si>
  <si>
    <t>一诺千金</t>
  </si>
  <si>
    <t>债券账户</t>
  </si>
  <si>
    <t>debt_batch</t>
  </si>
  <si>
    <t>debt_batch_buy_log</t>
  </si>
  <si>
    <t>债权包购买历史记录表</t>
  </si>
  <si>
    <t>debt_borrows_accept</t>
  </si>
  <si>
    <t>debt_buy</t>
  </si>
  <si>
    <t>债券购买</t>
  </si>
  <si>
    <t>debt_buy_log</t>
  </si>
  <si>
    <t>债权购买记录表</t>
  </si>
  <si>
    <t>债权购买记录</t>
  </si>
  <si>
    <t>debt_buy_relation_log</t>
  </si>
  <si>
    <t>债转购买关系记录表</t>
  </si>
  <si>
    <t>debt_exchange_account</t>
  </si>
  <si>
    <t>债权持有表</t>
  </si>
  <si>
    <t>债券转让账户</t>
  </si>
  <si>
    <t>debt_exchange_account_tmp0901</t>
  </si>
  <si>
    <t>debt_exchange_account_tmp0901_2</t>
  </si>
  <si>
    <t>debt_log</t>
  </si>
  <si>
    <t>debt_package</t>
  </si>
  <si>
    <t>债权打包</t>
  </si>
  <si>
    <t>debt_package_borrows</t>
  </si>
  <si>
    <t>债权打包标的</t>
  </si>
  <si>
    <t>debt_sale</t>
  </si>
  <si>
    <t>债权出售表</t>
  </si>
  <si>
    <t>debt_sale_account</t>
  </si>
  <si>
    <t>不良资产处置账户</t>
  </si>
  <si>
    <t>debt_sale_account_config</t>
  </si>
  <si>
    <t>回收不良资产账户比例配置表</t>
  </si>
  <si>
    <t>debt_sale_guarantee_log</t>
  </si>
  <si>
    <t>回收不良资产纪录表</t>
  </si>
  <si>
    <t>debt_transfer</t>
  </si>
  <si>
    <t>债转（只支持e诺千金产品）</t>
  </si>
  <si>
    <t>债券转让</t>
  </si>
  <si>
    <t>debt_washing_record</t>
  </si>
  <si>
    <t>债权清洗记录</t>
  </si>
  <si>
    <t>dfd_loan_applicant</t>
  </si>
  <si>
    <t>大房东贷款申请用户表</t>
  </si>
  <si>
    <t>dfd_loan_card</t>
  </si>
  <si>
    <t>大房东贷款用户房卡表</t>
  </si>
  <si>
    <t>dfd_lock_money_log</t>
  </si>
  <si>
    <t>大房东分批放款锁钱日志表</t>
  </si>
  <si>
    <t>dfd_upload_file_info</t>
  </si>
  <si>
    <t>大房东申请附件表</t>
  </si>
  <si>
    <t>eliteloanburse_plan</t>
  </si>
  <si>
    <t>名校贷钱包发布记录表</t>
  </si>
  <si>
    <t>face_beyond_result</t>
  </si>
  <si>
    <t>脸部识别，比较结果</t>
  </si>
  <si>
    <t>file_info</t>
  </si>
  <si>
    <t>基础平台，上传文件信息</t>
  </si>
  <si>
    <t>finance_account</t>
  </si>
  <si>
    <t>资金帐户表</t>
  </si>
  <si>
    <t>资金账户表</t>
  </si>
  <si>
    <t>finance_account_init</t>
  </si>
  <si>
    <t>finance_account_temp</t>
  </si>
  <si>
    <t>finance_config</t>
  </si>
  <si>
    <t>finance_idempotent</t>
  </si>
  <si>
    <t>finance_log</t>
  </si>
  <si>
    <t>资金日志表</t>
  </si>
  <si>
    <t>资金账户日志表</t>
  </si>
  <si>
    <t>finance_operation</t>
  </si>
  <si>
    <t>资金操作表</t>
  </si>
  <si>
    <t>finance_operation_relation</t>
  </si>
  <si>
    <t>资金操作映射表</t>
  </si>
  <si>
    <t>finance_operation_type</t>
  </si>
  <si>
    <t>资金操作类型表</t>
  </si>
  <si>
    <t>finance_plan</t>
  </si>
  <si>
    <t>诺诺精选表</t>
  </si>
  <si>
    <t>理财计划表</t>
  </si>
  <si>
    <t>finance_plan_config</t>
  </si>
  <si>
    <t>精选计划配置表</t>
  </si>
  <si>
    <t>finance_plan_scope</t>
  </si>
  <si>
    <t>精选类型表</t>
  </si>
  <si>
    <t>精选匹配标的范围表</t>
  </si>
  <si>
    <t>finance_platform</t>
  </si>
  <si>
    <t>资金平台表</t>
  </si>
  <si>
    <t>finance_report</t>
  </si>
  <si>
    <t>finance_role</t>
  </si>
  <si>
    <t>资金角色表</t>
  </si>
  <si>
    <t>finance_sumincome</t>
  </si>
  <si>
    <t>fund_account</t>
  </si>
  <si>
    <t>用户基金账户表</t>
  </si>
  <si>
    <t>fund_activate_log</t>
  </si>
  <si>
    <t>基金操作日志</t>
  </si>
  <si>
    <t>fund_company</t>
  </si>
  <si>
    <t>基金公司表</t>
  </si>
  <si>
    <t>基金公司</t>
  </si>
  <si>
    <t>fund_form</t>
  </si>
  <si>
    <t>诺诺宝申请表</t>
  </si>
  <si>
    <t>诺诺宝（基金）交易</t>
  </si>
  <si>
    <t>fund_move_direction</t>
  </si>
  <si>
    <t>fund_redeem_form</t>
  </si>
  <si>
    <t>赎回表</t>
  </si>
  <si>
    <t>基金赎回交易</t>
  </si>
  <si>
    <t>fund_to_csyy_Log</t>
  </si>
  <si>
    <t>财神爷爷存入资金记录表</t>
  </si>
  <si>
    <t>gab_water_photo_log</t>
  </si>
  <si>
    <t>公安部水印照片获取日志表</t>
  </si>
  <si>
    <t>helps</t>
  </si>
  <si>
    <t>帮助表</t>
  </si>
  <si>
    <t>帮助表（帮助中心）</t>
  </si>
  <si>
    <t>helps_cat</t>
  </si>
  <si>
    <t>帮助分类表</t>
  </si>
  <si>
    <t>帮助类别表; InnoDB free: 29696 kB</t>
  </si>
  <si>
    <t>household_threshold</t>
  </si>
  <si>
    <t>户籍地阀值限制表</t>
  </si>
  <si>
    <t>invt_finance_plan_stage_info</t>
  </si>
  <si>
    <t>invt_stage_debt_match</t>
  </si>
  <si>
    <t>精选购买债权预匹配表</t>
  </si>
  <si>
    <t>invt_stage_debt_package</t>
  </si>
  <si>
    <t>月月精选每日统一打包债权</t>
  </si>
  <si>
    <t>invt_stage_lock_change_log</t>
  </si>
  <si>
    <t>月月升债权记录和计划记录金额变更记录表</t>
  </si>
  <si>
    <t>invt_user_debts_changes_log</t>
  </si>
  <si>
    <t>投资月月升用户债权变更记录表</t>
  </si>
  <si>
    <t>kelaidai_file_info</t>
  </si>
  <si>
    <t>科来贷文件信息表</t>
  </si>
  <si>
    <t>kelaidai_user_info</t>
  </si>
  <si>
    <t>科来贷用户信息表</t>
  </si>
  <si>
    <t>kuaiq_orders</t>
  </si>
  <si>
    <t>快钱订单表</t>
  </si>
  <si>
    <t>快钱充值订单</t>
  </si>
  <si>
    <t>kuaiq_recharge_logs</t>
  </si>
  <si>
    <t>快钱操作记录流水表</t>
  </si>
  <si>
    <t>快钱充值日志及备注</t>
  </si>
  <si>
    <t>lazy_add</t>
  </si>
  <si>
    <t>精选计划续投记录</t>
  </si>
  <si>
    <t>links</t>
  </si>
  <si>
    <t>友情链接</t>
  </si>
  <si>
    <t>友情链接; InnoDB free: 29696 kB</t>
  </si>
  <si>
    <t>merchant</t>
  </si>
  <si>
    <t>商户信息表</t>
  </si>
  <si>
    <t>merchant_idempotent</t>
  </si>
  <si>
    <t>商户幂等记录表</t>
  </si>
  <si>
    <t>merchant_idempotent_record</t>
  </si>
  <si>
    <t>财神资金同步，幂等关联记录表</t>
  </si>
  <si>
    <t>merchant_regular_account</t>
  </si>
  <si>
    <t>商户定期账户</t>
  </si>
  <si>
    <t>mobile_site</t>
  </si>
  <si>
    <t>手机号运营商信息表</t>
  </si>
  <si>
    <t>mx_auto_assign</t>
  </si>
  <si>
    <t>mxd_activity_info</t>
  </si>
  <si>
    <t>名校贷活动表</t>
  </si>
  <si>
    <t>mxd_config</t>
  </si>
  <si>
    <t>名校贷阈值配置表</t>
  </si>
  <si>
    <t>mxd_coupon_activities</t>
  </si>
  <si>
    <t>mxd_evaluation_score</t>
  </si>
  <si>
    <t>授信评分表</t>
  </si>
  <si>
    <t>mxd_province_threshold</t>
  </si>
  <si>
    <t>省市阀值表 原表province_threshold</t>
  </si>
  <si>
    <t>mxd_refuse_reason_template</t>
  </si>
  <si>
    <t>回退理由模板表</t>
  </si>
  <si>
    <t>mxd_score_config</t>
  </si>
  <si>
    <t>名校贷评分配置表</t>
  </si>
  <si>
    <t>mxd_score_result</t>
  </si>
  <si>
    <t>名校贷评分信息表</t>
  </si>
  <si>
    <t>mxd_sites</t>
  </si>
  <si>
    <t>nb_party_tuhao_info</t>
  </si>
  <si>
    <t>七周年活动每日土豪表</t>
  </si>
  <si>
    <t>newborn_student_info</t>
  </si>
  <si>
    <t>newborn_student_reason</t>
  </si>
  <si>
    <t>nono_authentication</t>
  </si>
  <si>
    <t>nono认证库表</t>
  </si>
  <si>
    <t>nono认证库</t>
  </si>
  <si>
    <t>nono_studentAuth_log</t>
  </si>
  <si>
    <t>学生学籍认证历史信息表</t>
  </si>
  <si>
    <t>online_recharge</t>
  </si>
  <si>
    <t>在线充值 对应原数据库recharge_online</t>
  </si>
  <si>
    <t>order_info</t>
  </si>
  <si>
    <t>回调信息表</t>
  </si>
  <si>
    <t>pay_bill_file_info</t>
  </si>
  <si>
    <t>支付账单</t>
  </si>
  <si>
    <t>pengyuan_recharge_log</t>
  </si>
  <si>
    <t>鹏元认证日志表</t>
  </si>
  <si>
    <t>platform_company</t>
  </si>
  <si>
    <t>平台公司信息表</t>
  </si>
  <si>
    <t>platform_finance_stat</t>
  </si>
  <si>
    <t>平台收入统计表</t>
  </si>
  <si>
    <t>platform_income</t>
  </si>
  <si>
    <t>prod_bangke_freeze</t>
  </si>
  <si>
    <t>镑客码产品冻结表</t>
  </si>
  <si>
    <t>prod_bangke_share</t>
  </si>
  <si>
    <t>镑客码产品份额表</t>
  </si>
  <si>
    <t>prod_borrows</t>
  </si>
  <si>
    <t>prod_debt_sale</t>
  </si>
  <si>
    <t>prod_doctor_freeze</t>
  </si>
  <si>
    <t>博士产品冻结表</t>
  </si>
  <si>
    <t>prod_doctor_share</t>
  </si>
  <si>
    <t>博士产品份额表</t>
  </si>
  <si>
    <t>prod_finance_freeze</t>
  </si>
  <si>
    <t>理财产品冻结表</t>
  </si>
  <si>
    <t>prod_finance_plan</t>
  </si>
  <si>
    <t>产品诺诺精选表</t>
  </si>
  <si>
    <t>prod_finance_share</t>
  </si>
  <si>
    <t>理财产品资金份额表</t>
  </si>
  <si>
    <t>prod_household_freeze</t>
  </si>
  <si>
    <t>户籍地冻结表</t>
  </si>
  <si>
    <t>prod_household_share</t>
  </si>
  <si>
    <t>户籍地份额表</t>
  </si>
  <si>
    <t>prod_loan_freeze</t>
  </si>
  <si>
    <t>贷款产品冻结表</t>
  </si>
  <si>
    <t>prod_loan_share</t>
  </si>
  <si>
    <t>贷款产品份额表</t>
  </si>
  <si>
    <t>prod_loan_trans_detail</t>
  </si>
  <si>
    <t>贷款产品申请明细表</t>
  </si>
  <si>
    <t>prod_master_freeze</t>
  </si>
  <si>
    <t>硕士产品冻结表</t>
  </si>
  <si>
    <t>prod_master_share</t>
  </si>
  <si>
    <t>硕士产品份额表</t>
  </si>
  <si>
    <t>prod_mq_msgrecord</t>
  </si>
  <si>
    <t>可靠消息表</t>
  </si>
  <si>
    <t>prod_product_amount</t>
  </si>
  <si>
    <t>产品金额表</t>
  </si>
  <si>
    <t>prod_product_freeze</t>
  </si>
  <si>
    <t>产品冻结表</t>
  </si>
  <si>
    <t>prod_products</t>
  </si>
  <si>
    <t>产品表</t>
  </si>
  <si>
    <t>prod_products_config</t>
  </si>
  <si>
    <t>产品配置表</t>
  </si>
  <si>
    <t>prod_province_freeze</t>
  </si>
  <si>
    <t>省市冻结表</t>
  </si>
  <si>
    <t>prod_province_share</t>
  </si>
  <si>
    <t>省市份额表</t>
  </si>
  <si>
    <t>prod_region_freeze</t>
  </si>
  <si>
    <t>区域冻结表</t>
  </si>
  <si>
    <t>prod_region_share</t>
  </si>
  <si>
    <t>区域份额表</t>
  </si>
  <si>
    <t>prod_school_freeze</t>
  </si>
  <si>
    <t>贷款学校冻结表</t>
  </si>
  <si>
    <t>prod_school_share</t>
  </si>
  <si>
    <t>学校份额表</t>
  </si>
  <si>
    <t>prod_threshold_dict</t>
  </si>
  <si>
    <t>产品阀值字典表</t>
  </si>
  <si>
    <t>products</t>
  </si>
  <si>
    <t>产品描述</t>
  </si>
  <si>
    <t>products_config</t>
  </si>
  <si>
    <t>recharge_log</t>
  </si>
  <si>
    <t>充值记录表</t>
  </si>
  <si>
    <t>region</t>
  </si>
  <si>
    <t>行政区划</t>
  </si>
  <si>
    <t>repay_data_check</t>
  </si>
  <si>
    <t>report_operating_daily</t>
  </si>
  <si>
    <t>报表运营数据表</t>
  </si>
  <si>
    <t>schedule_job_info</t>
  </si>
  <si>
    <t>定时任务运行信息表</t>
  </si>
  <si>
    <t>sesame_credit</t>
  </si>
  <si>
    <t>芝麻信用表，存放所有人的芝麻信用情况</t>
  </si>
  <si>
    <t>sft_recharges</t>
  </si>
  <si>
    <t>盛付通充值流水记录表</t>
  </si>
  <si>
    <t>site_advertisement</t>
  </si>
  <si>
    <t>站内广告(原表名site_ads)</t>
  </si>
  <si>
    <t>site_flash_setting</t>
  </si>
  <si>
    <t>flash配置表</t>
  </si>
  <si>
    <t>sites</t>
  </si>
  <si>
    <t>网站参数表</t>
  </si>
  <si>
    <t>sms_biz_config</t>
  </si>
  <si>
    <t>sms_biz_config_old</t>
  </si>
  <si>
    <t>sms_channel_info_old</t>
  </si>
  <si>
    <t>sms_defeat_list</t>
  </si>
  <si>
    <t>短信发送失败表</t>
  </si>
  <si>
    <t>sms_sending_log</t>
  </si>
  <si>
    <t>sms_sending_log_old</t>
  </si>
  <si>
    <t>sms_task_log</t>
  </si>
  <si>
    <t>solr_delta_import_counter</t>
  </si>
  <si>
    <t>solr_delta_import_counter_physical</t>
  </si>
  <si>
    <t>记录增量更新的进度</t>
  </si>
  <si>
    <t>solr_delta_import_failed_log</t>
  </si>
  <si>
    <t>solr_delta_import_failed_log_physical</t>
  </si>
  <si>
    <t>记录增量更新时遇到的错误</t>
  </si>
  <si>
    <t>solr_finance</t>
  </si>
  <si>
    <t>sorl读取资金变更记录</t>
  </si>
  <si>
    <t>student_auth_activity_csyy</t>
  </si>
  <si>
    <t>财神爷爷活动学籍认证信息表</t>
  </si>
  <si>
    <t>student_auth_order</t>
  </si>
  <si>
    <t>学籍认证订单表</t>
  </si>
  <si>
    <t>student_school</t>
  </si>
  <si>
    <t>学校信息表</t>
  </si>
  <si>
    <t>system_config</t>
  </si>
  <si>
    <t>配置表</t>
  </si>
  <si>
    <t>system_config_log</t>
  </si>
  <si>
    <t>修改配置日志表</t>
  </si>
  <si>
    <t>system_locks</t>
  </si>
  <si>
    <t>系统锁表</t>
  </si>
  <si>
    <t>system_mail_account</t>
  </si>
  <si>
    <t>邮箱账户表，每个业务对应一条发送邮件的账户配置信息</t>
  </si>
  <si>
    <t>system_mail_log</t>
  </si>
  <si>
    <t>系统邮件日志表</t>
  </si>
  <si>
    <t>系统邮件发送日志</t>
  </si>
  <si>
    <t>system_mail_template</t>
  </si>
  <si>
    <t>系统邮件模板表(原表名system_mail)</t>
  </si>
  <si>
    <t>system_mail_template_new</t>
  </si>
  <si>
    <t>新的邮件模板表，区别于原system_mail_template</t>
  </si>
  <si>
    <t>system_pod_log</t>
  </si>
  <si>
    <t>电话点播发送日志表</t>
  </si>
  <si>
    <t>system_record</t>
  </si>
  <si>
    <t>表的修改记录</t>
  </si>
  <si>
    <t>system_sms_black_list</t>
  </si>
  <si>
    <t>短信黑名单</t>
  </si>
  <si>
    <t>短信发送情况</t>
  </si>
  <si>
    <t>system_sms_recv_log</t>
  </si>
  <si>
    <t>短信接收日志表</t>
  </si>
  <si>
    <t>system_sms_template</t>
  </si>
  <si>
    <t>短信模板表</t>
  </si>
  <si>
    <t>system_sms_validation_log</t>
  </si>
  <si>
    <t>有效短信日志表</t>
  </si>
  <si>
    <t>注册短信验证发送端口</t>
  </si>
  <si>
    <t>system_sms_white_list</t>
  </si>
  <si>
    <t>短信白名单</t>
  </si>
  <si>
    <t>system_tables_monitor</t>
  </si>
  <si>
    <t>系统表监控信息</t>
  </si>
  <si>
    <t>系统表格监控</t>
  </si>
  <si>
    <t>system_voice_verify_log</t>
  </si>
  <si>
    <t>语音校验日志</t>
  </si>
  <si>
    <t>temp_wc</t>
  </si>
  <si>
    <t>test_user</t>
  </si>
  <si>
    <t>用户测试表</t>
  </si>
  <si>
    <t>testmobile</t>
  </si>
  <si>
    <t>text_template</t>
  </si>
  <si>
    <t>文档模板表</t>
  </si>
  <si>
    <t>timing_task</t>
  </si>
  <si>
    <t>计划任务表</t>
  </si>
  <si>
    <t>unbind_log</t>
  </si>
  <si>
    <t>解绑日志表</t>
  </si>
  <si>
    <t>unifi_InterestrateCut</t>
  </si>
  <si>
    <t>unifi使用的减息券</t>
  </si>
  <si>
    <t>unifi_campus_ambassador</t>
  </si>
  <si>
    <t>unifi_campus_invite</t>
  </si>
  <si>
    <t>unifi_elchee</t>
  </si>
  <si>
    <t>unifi_elchee_borrow</t>
  </si>
  <si>
    <t>unifi_elchee_money</t>
  </si>
  <si>
    <t>unifi_elchee_register</t>
  </si>
  <si>
    <t>unifi_user_info_activity</t>
  </si>
  <si>
    <t>unifi海外红包裂变活动表</t>
  </si>
  <si>
    <t>update_punish_log</t>
  </si>
  <si>
    <t>更新罚息日志表</t>
  </si>
  <si>
    <t>user_InterestrateCut</t>
  </si>
  <si>
    <t>减息券</t>
  </si>
  <si>
    <t>user_action_log</t>
  </si>
  <si>
    <t>用户操作记录表</t>
  </si>
  <si>
    <t>客户登陆网站日志</t>
  </si>
  <si>
    <t>user_alipay_info</t>
  </si>
  <si>
    <t>用户支付宝表</t>
  </si>
  <si>
    <t>user_approach_info</t>
  </si>
  <si>
    <t>用户渠道信息表</t>
  </si>
  <si>
    <t>user_audit_info</t>
  </si>
  <si>
    <t>核查信息</t>
  </si>
  <si>
    <t>user_avatar_info</t>
  </si>
  <si>
    <t>用户图像移植表</t>
  </si>
  <si>
    <t>user_bankcard_auth</t>
  </si>
  <si>
    <t>银行卡鉴权信息表</t>
  </si>
  <si>
    <t>user_bankcard_info</t>
  </si>
  <si>
    <t>银行卡信息表，原表名：finance_bankaccount</t>
  </si>
  <si>
    <t>user_bankcard_info_init</t>
  </si>
  <si>
    <t>user_blacklist_records</t>
  </si>
  <si>
    <t>用户黑事件记录表</t>
  </si>
  <si>
    <t>user_callin_record</t>
  </si>
  <si>
    <t>用户呼入记录</t>
  </si>
  <si>
    <t>user_channel_change_log</t>
  </si>
  <si>
    <t>用户渠道更改表，原表名：members_owner_log</t>
  </si>
  <si>
    <t>user_company_info</t>
  </si>
  <si>
    <t>用户公司信息表</t>
  </si>
  <si>
    <t>user_consign_charge</t>
  </si>
  <si>
    <t>用户委托充值记录表，原表名：consign_charge</t>
  </si>
  <si>
    <t>user_contact_info</t>
  </si>
  <si>
    <t>用户联系信息表</t>
  </si>
  <si>
    <t>user_cost_collect</t>
  </si>
  <si>
    <t>用户花费统计表</t>
  </si>
  <si>
    <t>user_cost_detail</t>
  </si>
  <si>
    <t>用户花费详细信息表</t>
  </si>
  <si>
    <t>user_coupon</t>
  </si>
  <si>
    <t>现金券/加息券发放、使用情况 对应原数据库user_vouchers</t>
  </si>
  <si>
    <t>user_credit_investigation</t>
  </si>
  <si>
    <t>用户征信相关信息</t>
  </si>
  <si>
    <t>user_credit_rating_info</t>
  </si>
  <si>
    <t>用户信用证书申请</t>
  </si>
  <si>
    <t>user_criminal_info</t>
  </si>
  <si>
    <t>用户刑侦记录表</t>
  </si>
  <si>
    <t>user_csmFinInfo</t>
  </si>
  <si>
    <t>用户对用的消费金融信息表</t>
  </si>
  <si>
    <t>user_data_change_history</t>
  </si>
  <si>
    <t>用户信息变更记录表</t>
  </si>
  <si>
    <t>user_education_auth_log</t>
  </si>
  <si>
    <t>用户学历认证日志表</t>
  </si>
  <si>
    <t>user_email_auth_log</t>
  </si>
  <si>
    <t>用户邮箱校验记录表</t>
  </si>
  <si>
    <t>user_experience_cash_log</t>
  </si>
  <si>
    <t>用户体验金</t>
  </si>
  <si>
    <t>体验金发放情况</t>
  </si>
  <si>
    <t>user_experience_cash_log_insert</t>
  </si>
  <si>
    <t>user_experience_cash_log_update</t>
  </si>
  <si>
    <t>user_experience_earnings_log</t>
  </si>
  <si>
    <t>用户体验金收益发放</t>
  </si>
  <si>
    <t>user_field_type</t>
  </si>
  <si>
    <t>会员字段分类表，原表名：members_field</t>
  </si>
  <si>
    <t>user_file_audit_info</t>
  </si>
  <si>
    <t>用户附件信息表</t>
  </si>
  <si>
    <t>user_file_info</t>
  </si>
  <si>
    <t>会员上传记录</t>
  </si>
  <si>
    <t>user_file_score_type</t>
  </si>
  <si>
    <t>会员信息积分类型表，原表名：members_info_score_type</t>
  </si>
  <si>
    <t>user_file_type_info</t>
  </si>
  <si>
    <t>会员上传类型</t>
  </si>
  <si>
    <t>user_hand_signal</t>
  </si>
  <si>
    <t>用户手势密码</t>
  </si>
  <si>
    <t>手机端用户手势密码</t>
  </si>
  <si>
    <t>user_hkconpon</t>
  </si>
  <si>
    <t>名校贷还款券</t>
  </si>
  <si>
    <t>user_hkconpon_template</t>
  </si>
  <si>
    <t>user_htsb_info</t>
  </si>
  <si>
    <t>用户活体识别信息表</t>
  </si>
  <si>
    <t>user_id5_edu_record</t>
  </si>
  <si>
    <t>用户学历认证记录表，原表名：member_id5_edu_record</t>
  </si>
  <si>
    <t>user_idcard_audit_info</t>
  </si>
  <si>
    <t>用户身份认证线下审核记录表，原表名：members_idcard_check</t>
  </si>
  <si>
    <t>user_identity_auth_log</t>
  </si>
  <si>
    <t>用户实名认证日志表</t>
  </si>
  <si>
    <t>user_info_backup</t>
  </si>
  <si>
    <t>user_info_init</t>
  </si>
  <si>
    <t>user_invest_amount_log</t>
  </si>
  <si>
    <t>用户资产信息统计表</t>
  </si>
  <si>
    <t>user_level</t>
  </si>
  <si>
    <t>会员等级表</t>
  </si>
  <si>
    <t>user_loan_info</t>
  </si>
  <si>
    <t>用户贷款信息</t>
  </si>
  <si>
    <t>user_login_info</t>
  </si>
  <si>
    <t>用户登录信息</t>
  </si>
  <si>
    <t>user_message_info</t>
  </si>
  <si>
    <t>消息中心数据表，原表名：message</t>
  </si>
  <si>
    <t>user_mobile_auth_log</t>
  </si>
  <si>
    <t>用户手机认证记录</t>
  </si>
  <si>
    <t>user_mobile_message_log</t>
  </si>
  <si>
    <t>用户短信记录</t>
  </si>
  <si>
    <t>user_nono_pocket_info</t>
  </si>
  <si>
    <t>诺诺钱包用户信息表</t>
  </si>
  <si>
    <t>user_password_change_log</t>
  </si>
  <si>
    <t>用户修改密码记录表</t>
  </si>
  <si>
    <t>user_phone_book</t>
  </si>
  <si>
    <t>用户电话薄上传记录</t>
  </si>
  <si>
    <t>用户手机电话薄，（类似电话备份）</t>
  </si>
  <si>
    <t>user_phone_book2</t>
  </si>
  <si>
    <t>user_picture_record</t>
  </si>
  <si>
    <t>用户照片认证记录表，原表名：member_video</t>
  </si>
  <si>
    <t>user_potential_record</t>
  </si>
  <si>
    <t>潜在用户记录</t>
  </si>
  <si>
    <t>潜在用户表（渠道员工添加？）</t>
  </si>
  <si>
    <t>user_profile_info</t>
  </si>
  <si>
    <t>用户扩展属性表</t>
  </si>
  <si>
    <t>user_recipients</t>
  </si>
  <si>
    <t>用户收件表，原表名：recipients</t>
  </si>
  <si>
    <t>user_relation_person_info</t>
  </si>
  <si>
    <t>用户联系人信息</t>
  </si>
  <si>
    <t>user_repayBankInfo</t>
  </si>
  <si>
    <t>消金还款银行信息表</t>
  </si>
  <si>
    <t>user_sales</t>
  </si>
  <si>
    <t>用户销售信息关联</t>
  </si>
  <si>
    <t>user_schoolroll_auth_log</t>
  </si>
  <si>
    <t>用户学籍认证日志</t>
  </si>
  <si>
    <t>user_security_question</t>
  </si>
  <si>
    <t>用户安全问题表</t>
  </si>
  <si>
    <t>user_servicer_change_log</t>
  </si>
  <si>
    <t>用户服务人员变更</t>
  </si>
  <si>
    <t>user_setting</t>
  </si>
  <si>
    <t>用户偏好设置表，原表名：members_setting</t>
  </si>
  <si>
    <t>user_sign_record</t>
  </si>
  <si>
    <t>地理位置上传记录表</t>
  </si>
  <si>
    <t>user_social_info</t>
  </si>
  <si>
    <t>第三方平台账号</t>
  </si>
  <si>
    <t>user_spouse_info</t>
  </si>
  <si>
    <t>用户配偶信息</t>
  </si>
  <si>
    <t>user_student_info</t>
  </si>
  <si>
    <t>学生信息</t>
  </si>
  <si>
    <t>user_system_audit</t>
  </si>
  <si>
    <t>核查情况</t>
  </si>
  <si>
    <t>user_system_msg</t>
  </si>
  <si>
    <t>user_type_change_log</t>
  </si>
  <si>
    <t>用户身份切换日志</t>
  </si>
  <si>
    <t>user_usepaypass_log</t>
  </si>
  <si>
    <t>user_wechat_monitor</t>
  </si>
  <si>
    <t>微信关注监控表,原表名：wechat_monitor</t>
  </si>
  <si>
    <t>user_weixin_bind</t>
  </si>
  <si>
    <t>微信绑定记录，原表名：bind_weixin</t>
  </si>
  <si>
    <t>user_weixin_link</t>
  </si>
  <si>
    <t>user_work_info</t>
  </si>
  <si>
    <t>用户工作信息</t>
  </si>
  <si>
    <t>v_user_approach_info</t>
  </si>
  <si>
    <t>VIEW</t>
  </si>
  <si>
    <t>v_user_bankcard_info</t>
  </si>
  <si>
    <t>v_user_info</t>
  </si>
  <si>
    <t>v_user_info_detail</t>
  </si>
  <si>
    <t>vip_account</t>
  </si>
  <si>
    <t>精选账户表</t>
  </si>
  <si>
    <t>理财账户表</t>
  </si>
  <si>
    <t>vip_account_627_diff</t>
  </si>
  <si>
    <t>vip_account_825_diff</t>
  </si>
  <si>
    <t>vip_autobidder</t>
  </si>
  <si>
    <t>理财账户默认自动投标器表</t>
  </si>
  <si>
    <t>vip_delivery_info</t>
  </si>
  <si>
    <t>用户收货地址信息表</t>
  </si>
  <si>
    <t>vip_form</t>
  </si>
  <si>
    <t>精选购买表</t>
  </si>
  <si>
    <t>精选投资订单信息</t>
  </si>
  <si>
    <t>visit_dailyflow</t>
  </si>
  <si>
    <t>访问日流量表</t>
  </si>
  <si>
    <t>每天网站访问请求数（14年7月15停止更新）</t>
  </si>
  <si>
    <t>visit_insite_log</t>
  </si>
  <si>
    <t>站内访问日志表</t>
  </si>
  <si>
    <t>内网url累积访问次数，14年5月停止更新</t>
  </si>
  <si>
    <t>visit_log_detail_1511</t>
  </si>
  <si>
    <t>visit_log_detail_1512</t>
  </si>
  <si>
    <t>visit_log_detail_1601</t>
  </si>
  <si>
    <t>visit_log_detail_1602</t>
  </si>
  <si>
    <t>visit_log_detail_count</t>
  </si>
  <si>
    <t>访问日志表</t>
  </si>
  <si>
    <t>visit_referer_log</t>
  </si>
  <si>
    <t>访问引用日志</t>
  </si>
  <si>
    <t>访客来源14年5月底停止更新</t>
  </si>
  <si>
    <t>wechat_pickupcode</t>
  </si>
  <si>
    <t>withdraw_cash</t>
  </si>
  <si>
    <t>提现申请表</t>
  </si>
  <si>
    <t>withdraw_cash_alipay</t>
  </si>
  <si>
    <t>支付宝提现表</t>
  </si>
  <si>
    <t>work_date</t>
  </si>
  <si>
    <t>工作日期表</t>
  </si>
  <si>
    <t>基金收益名校聚宝可投金额</t>
  </si>
  <si>
    <t>yilian_orders</t>
  </si>
  <si>
    <t>易联订单表</t>
  </si>
  <si>
    <t>易联订单</t>
  </si>
  <si>
    <t>yilian_recharges</t>
  </si>
  <si>
    <t>易联操作记录表</t>
  </si>
  <si>
    <t>youqian_cooperation_log</t>
  </si>
  <si>
    <t>友钱合作下载app日志表</t>
  </si>
  <si>
    <t>zkb_province_threshold</t>
  </si>
  <si>
    <t>专科包省市阀值表</t>
  </si>
  <si>
    <t>db_nono_pay</t>
  </si>
  <si>
    <t>tb_pay_bank</t>
  </si>
  <si>
    <t>tb_pay_bank_card</t>
  </si>
  <si>
    <t>tb_pay_limit</t>
  </si>
  <si>
    <t>tb_pay_order</t>
  </si>
  <si>
    <t>tb_pay_record</t>
  </si>
  <si>
    <t>tb_pay_record_log</t>
  </si>
  <si>
    <t>tb_withdraw_record</t>
  </si>
  <si>
    <t>finance_order</t>
  </si>
  <si>
    <t>BLACK_EMAIL_MENU</t>
  </si>
  <si>
    <t>邮件黑名单</t>
  </si>
  <si>
    <t>BLACK_IDCARD_MENU</t>
  </si>
  <si>
    <t>身份证黑名单</t>
  </si>
  <si>
    <t>BLACK_IDFA_MENU</t>
  </si>
  <si>
    <t>设备黑名单</t>
  </si>
  <si>
    <t>BLACK_MOBILE_MENU</t>
  </si>
  <si>
    <t>ORD_ACTIVITI</t>
  </si>
  <si>
    <t>ORD_APP_MESSAGE</t>
  </si>
  <si>
    <t>app消息表</t>
  </si>
  <si>
    <t>ORD_APP_MESSAGE_USER</t>
  </si>
  <si>
    <t>app消息用户关联表</t>
  </si>
  <si>
    <t>ORD_ATTACHMENT</t>
  </si>
  <si>
    <t>附件表</t>
  </si>
  <si>
    <t>ORD_ORDER</t>
  </si>
  <si>
    <t>订单表</t>
  </si>
  <si>
    <t>ORD_ORDER_CHECK_HISTORY</t>
  </si>
  <si>
    <t>订单审核历史表</t>
  </si>
  <si>
    <t>ORD_ORDER_PART</t>
  </si>
  <si>
    <t>订单分期表</t>
  </si>
  <si>
    <t>ORD_ORDER_TRANCE_DETAIL</t>
  </si>
  <si>
    <t>订单还款流水</t>
  </si>
  <si>
    <t>ORD_PAYMENT_LOG</t>
  </si>
  <si>
    <t>支付记录日志表</t>
  </si>
  <si>
    <t>ORD_TRANCE_DETAIL</t>
  </si>
  <si>
    <t>账户流水表</t>
  </si>
  <si>
    <t>ORD_USER</t>
  </si>
  <si>
    <t>借款用户基本信息表</t>
  </si>
  <si>
    <t>ORD_USER_ACCOUNT</t>
  </si>
  <si>
    <t xml:space="preserve">用户账户表
</t>
  </si>
  <si>
    <t>ORD_USER_CHANGE_MOBILE</t>
  </si>
  <si>
    <t>用户更改手机号历史表</t>
  </si>
  <si>
    <t>ORD_USER_DETAIL</t>
  </si>
  <si>
    <t>用户详情表</t>
  </si>
  <si>
    <t>ORD_USER_DEVIDE</t>
  </si>
  <si>
    <t>订单审核人中间表</t>
  </si>
  <si>
    <t>ORD_USER_HONOR</t>
  </si>
  <si>
    <t>用户信用表</t>
  </si>
  <si>
    <t>ORD_USER_REALNAME_AUTH_RESET</t>
  </si>
  <si>
    <t>用户实名认证记录</t>
  </si>
  <si>
    <t>finance_shop</t>
  </si>
  <si>
    <t>SOP_EMPLOYEE</t>
  </si>
  <si>
    <t>商户员工</t>
  </si>
  <si>
    <t>SOP_SHOP</t>
  </si>
  <si>
    <t>商户表</t>
  </si>
  <si>
    <t>SOP_SHOP_ACCOUNT</t>
  </si>
  <si>
    <t>商户账户表</t>
  </si>
  <si>
    <t>SOP_SHOP_ACTIVITY_RECRUIT</t>
  </si>
  <si>
    <t>招募信息记录表</t>
  </si>
  <si>
    <t>SOP_SHOP_ATTACHMENTS</t>
  </si>
  <si>
    <t>保存商户文件表</t>
  </si>
  <si>
    <t>SOP_SHOP_AUDIT_HISTORY</t>
  </si>
  <si>
    <t>商户审核历史表</t>
  </si>
  <si>
    <t>SOP_SHOP_CHECK_REPORT</t>
  </si>
  <si>
    <t>巡检报告</t>
  </si>
  <si>
    <t>SOP_SHOP_CONTRACT_FILE</t>
  </si>
  <si>
    <t>商户文件表</t>
  </si>
  <si>
    <t>SOP_SHOP_FACE</t>
  </si>
  <si>
    <t>商户门店</t>
  </si>
  <si>
    <t>SOP_SHOP_FACE_RISK</t>
  </si>
  <si>
    <t>门店风控数据表</t>
  </si>
  <si>
    <t>SOP_SHOP_RATE_COLUMN</t>
  </si>
  <si>
    <t>商户利率表列数据</t>
  </si>
  <si>
    <t>SOP_SHOP_RATE_HEADER</t>
  </si>
  <si>
    <t>SOP_SHOP_RATE_ITEM</t>
  </si>
  <si>
    <t>商户利率数据</t>
  </si>
  <si>
    <t>SOP_SHOP_RATE_RELATION</t>
  </si>
  <si>
    <t>利率表模板，行与列的组合</t>
  </si>
  <si>
    <t>SOP_SHOP_RATE_ROW</t>
  </si>
  <si>
    <t>商户利率表行类型</t>
  </si>
  <si>
    <t>SOP_SHOP_RATE_TABLE</t>
  </si>
  <si>
    <t>利率表</t>
  </si>
  <si>
    <t>SOP_SHOP_RISK</t>
  </si>
  <si>
    <t>商户风控信息表</t>
  </si>
  <si>
    <t>SOP_SHOP_TABLE</t>
  </si>
  <si>
    <t>商户利率表中间表</t>
  </si>
  <si>
    <t>SOP_SHOP_USER_RATE</t>
  </si>
  <si>
    <t>商户对借款用户利率表</t>
  </si>
  <si>
    <t>SOP_TABLE_COLUMN_OPERATE_RECORDS</t>
  </si>
  <si>
    <t>属性操作操作记录表</t>
  </si>
  <si>
    <t>finance_system</t>
  </si>
  <si>
    <t>FILE_STORAGE</t>
  </si>
  <si>
    <t>文件存储表</t>
  </si>
  <si>
    <t>SYS_APP_VERSION</t>
  </si>
  <si>
    <t>app版本表</t>
  </si>
  <si>
    <t>SYS_COUNTY</t>
  </si>
  <si>
    <t>城市表</t>
  </si>
  <si>
    <t>SYS_DIC</t>
  </si>
  <si>
    <t>SYS_DIC_ITEM</t>
  </si>
  <si>
    <t>字典项表</t>
  </si>
  <si>
    <t>SYS_PERMISSION</t>
  </si>
  <si>
    <t>系统权限表</t>
  </si>
  <si>
    <t>SYS_PRODUCT</t>
  </si>
  <si>
    <t>产品列表</t>
  </si>
  <si>
    <t>SYS_ROLE</t>
  </si>
  <si>
    <t>SYS_ROLE_PERMISSION</t>
  </si>
  <si>
    <t>角色权限表</t>
  </si>
  <si>
    <t>SYS_SYSTEM</t>
  </si>
  <si>
    <t>系统表</t>
  </si>
  <si>
    <t>SYS_USER</t>
  </si>
  <si>
    <t>系统用户表</t>
  </si>
  <si>
    <t>SYS_USER_FACE</t>
  </si>
  <si>
    <t>SYS_USER_ROLE</t>
  </si>
  <si>
    <t>用户角色中间表</t>
  </si>
  <si>
    <t>finance_wechat</t>
  </si>
  <si>
    <t>WE_APPS</t>
  </si>
  <si>
    <t>WE_ARTICLES_WC</t>
  </si>
  <si>
    <t>WE_ARTICLES_XJ</t>
  </si>
  <si>
    <t>WE_AUTO_MESSAGE</t>
  </si>
  <si>
    <t>WE_IMAGE</t>
  </si>
  <si>
    <t>WE_KEY_MESSAGE</t>
  </si>
  <si>
    <t>WE_MASS_ALL</t>
  </si>
  <si>
    <t>WE_MESSAGE_TEMPLATE</t>
  </si>
  <si>
    <t>WE_QRCODE</t>
  </si>
  <si>
    <t>WE_USER_INFO</t>
  </si>
  <si>
    <t>nonobank_app</t>
  </si>
  <si>
    <t>account_combine_log</t>
  </si>
  <si>
    <t>账号合并失效账号记录表</t>
  </si>
  <si>
    <t>activity_info</t>
  </si>
  <si>
    <t>activity_invite_code</t>
  </si>
  <si>
    <t>activity_reward</t>
  </si>
  <si>
    <t>activity_reward_channel</t>
  </si>
  <si>
    <t>activity_special</t>
  </si>
  <si>
    <t>activity_url</t>
  </si>
  <si>
    <t>activity_user</t>
  </si>
  <si>
    <t>用户奖励统计表</t>
  </si>
  <si>
    <t>activity_user_detail</t>
  </si>
  <si>
    <t>用户奖励明细表</t>
  </si>
  <si>
    <t>activity_vip_invite_code</t>
  </si>
  <si>
    <t>address_book</t>
  </si>
  <si>
    <t>admin_info</t>
  </si>
  <si>
    <t>admin_withdraw</t>
  </si>
  <si>
    <t>advert_security_manager</t>
  </si>
  <si>
    <t>广告和安全访问管理表</t>
  </si>
  <si>
    <t>app_index_info</t>
  </si>
  <si>
    <t>财神首页信息管理表</t>
  </si>
  <si>
    <t>app_menu_info</t>
  </si>
  <si>
    <t>app 菜单表</t>
  </si>
  <si>
    <t>app_store_extension</t>
  </si>
  <si>
    <t>approach_define</t>
  </si>
  <si>
    <t>async_job</t>
  </si>
  <si>
    <t>异步任务运行表</t>
  </si>
  <si>
    <t>async_task_fail</t>
  </si>
  <si>
    <t>待处理异步任务信息</t>
  </si>
  <si>
    <t>async_task_handling</t>
  </si>
  <si>
    <t>async_task_success</t>
  </si>
  <si>
    <t>async_task_wait</t>
  </si>
  <si>
    <t>authen_log</t>
  </si>
  <si>
    <t>调用第三方认证日志记录表</t>
  </si>
  <si>
    <t>auto_email_log</t>
  </si>
  <si>
    <t>auto_trans_invest_log</t>
  </si>
  <si>
    <t>auto_withdraw_log</t>
  </si>
  <si>
    <t>balance_init_log</t>
  </si>
  <si>
    <t>bank_define</t>
  </si>
  <si>
    <t>银行信息表</t>
  </si>
  <si>
    <t>banner_info</t>
  </si>
  <si>
    <t>black_customers</t>
  </si>
  <si>
    <t>风险用户管理表</t>
  </si>
  <si>
    <t>black_list</t>
  </si>
  <si>
    <t>bug_limit_config</t>
  </si>
  <si>
    <t>buy_limit_product</t>
  </si>
  <si>
    <t>calc_interest_call_log</t>
  </si>
  <si>
    <t>calc_interest_result_log</t>
  </si>
  <si>
    <t>change_define</t>
  </si>
  <si>
    <t>company_account</t>
  </si>
  <si>
    <t>company_account_log</t>
  </si>
  <si>
    <t>csm_share_right</t>
  </si>
  <si>
    <t>csm_user_deduct</t>
  </si>
  <si>
    <t>csm_user_deduct_hist</t>
  </si>
  <si>
    <t>csyeye_codoon</t>
  </si>
  <si>
    <t>customer_service</t>
  </si>
  <si>
    <t>customers_withdraw_list</t>
  </si>
  <si>
    <t>风险用户提取现金记录表</t>
  </si>
  <si>
    <t>debt_allocate_err</t>
  </si>
  <si>
    <t>债权分配错误信息表</t>
  </si>
  <si>
    <t>debt_contract</t>
  </si>
  <si>
    <t>debt_decrease_log</t>
  </si>
  <si>
    <t>debt_detail</t>
  </si>
  <si>
    <t>产品明细(一个标的下具体的债权信息，product_info表记录的是总括信息)</t>
  </si>
  <si>
    <t>debt_detail_back</t>
  </si>
  <si>
    <t>debt_info</t>
  </si>
  <si>
    <t>产品信息</t>
  </si>
  <si>
    <t>debt_info_back</t>
  </si>
  <si>
    <t>debt_info_copy</t>
  </si>
  <si>
    <t>debt_refund_handle_log</t>
  </si>
  <si>
    <t>debt_task</t>
  </si>
  <si>
    <t>实时债权处理表</t>
  </si>
  <si>
    <t>debter</t>
  </si>
  <si>
    <t>debter_nndt_04_from_63</t>
  </si>
  <si>
    <t>debter_schoole_null</t>
  </si>
  <si>
    <t>dfd_temp_message</t>
  </si>
  <si>
    <t>duiba_integral_order</t>
  </si>
  <si>
    <t>兑吧订单号</t>
  </si>
  <si>
    <t>feedback</t>
  </si>
  <si>
    <t>用户反馈表</t>
  </si>
  <si>
    <t>finance_init_back</t>
  </si>
  <si>
    <t>fools_day_activity</t>
  </si>
  <si>
    <t>记录愚人节活动的用户信息</t>
  </si>
  <si>
    <t>holiday_day</t>
  </si>
  <si>
    <t>节日表</t>
  </si>
  <si>
    <t>id_tmmmmmmmm</t>
  </si>
  <si>
    <t>idfa_platform</t>
  </si>
  <si>
    <t>idno_tmp</t>
  </si>
  <si>
    <t>index_report</t>
  </si>
  <si>
    <t>interest_calcu_log</t>
  </si>
  <si>
    <t>interest_calcu_log_bak</t>
  </si>
  <si>
    <t>interest_info</t>
  </si>
  <si>
    <t>新的用户收益表</t>
  </si>
  <si>
    <t>interest_info_detail</t>
  </si>
  <si>
    <t>收益详情，记录每笔投资的本金，收益，收益率，收益日期</t>
  </si>
  <si>
    <t>invest_type_product_rel</t>
  </si>
  <si>
    <t>投资类型产品关系表</t>
  </si>
  <si>
    <t>login_device_log</t>
  </si>
  <si>
    <t>登录设备管理表</t>
  </si>
  <si>
    <t>login_log</t>
  </si>
  <si>
    <t>login_mobile_unique</t>
  </si>
  <si>
    <t>message_log</t>
  </si>
  <si>
    <t>myexpid</t>
  </si>
  <si>
    <t>news_info</t>
  </si>
  <si>
    <t>news_navigation_info</t>
  </si>
  <si>
    <t>none_calcu_reward</t>
  </si>
  <si>
    <t>nono_debt_allocate_err</t>
  </si>
  <si>
    <t>诺诺会员债权分配错误信息表</t>
  </si>
  <si>
    <t>nono_limit_product</t>
  </si>
  <si>
    <t>诺诺会员产品期数更换表</t>
  </si>
  <si>
    <t>nono_system_account</t>
  </si>
  <si>
    <t>诺诺会员系统账号表</t>
  </si>
  <si>
    <t>nono_trans_detail</t>
  </si>
  <si>
    <t>诺诺会员交易流水表</t>
  </si>
  <si>
    <t>nono_user</t>
  </si>
  <si>
    <t>诺诺会员信息记录表</t>
  </si>
  <si>
    <t>nono_user_product</t>
  </si>
  <si>
    <t>诺诺会员成功购买的产品列表汇总</t>
  </si>
  <si>
    <t>nono_user_product_detail</t>
  </si>
  <si>
    <t>诺诺会员购买产品明细</t>
  </si>
  <si>
    <t>nono_user_product_detail_back</t>
  </si>
  <si>
    <t>operator_info</t>
  </si>
  <si>
    <t>order_async_task</t>
  </si>
  <si>
    <t>订单异步任务表</t>
  </si>
  <si>
    <t>order_bank_real_tmp</t>
  </si>
  <si>
    <t>order_status</t>
  </si>
  <si>
    <t>out_system_config</t>
  </si>
  <si>
    <t>out_system_ip_whitelist</t>
  </si>
  <si>
    <t>out_system_trade_log</t>
  </si>
  <si>
    <t>point_approach</t>
  </si>
  <si>
    <t>积分获取渠道</t>
  </si>
  <si>
    <t>point_consume</t>
  </si>
  <si>
    <t>积分消耗明细表</t>
  </si>
  <si>
    <t>point_exchange_receiver</t>
  </si>
  <si>
    <t>奖品兑换收货人信息</t>
  </si>
  <si>
    <t>point_mart_product</t>
  </si>
  <si>
    <t>积分商城产品表</t>
  </si>
  <si>
    <t>pre_invite_code_rel</t>
  </si>
  <si>
    <t>product_activity</t>
  </si>
  <si>
    <t>product_contract</t>
  </si>
  <si>
    <t>product_detail</t>
  </si>
  <si>
    <t>product_eff_day</t>
  </si>
  <si>
    <t>product_has_reward</t>
  </si>
  <si>
    <t>产品奖－励加息配置表，配置产品可享受哪些活动奖励加息</t>
  </si>
  <si>
    <t>product_img</t>
  </si>
  <si>
    <t>product_info</t>
  </si>
  <si>
    <t>product_info_detail</t>
  </si>
  <si>
    <t>product_limit_periods</t>
  </si>
  <si>
    <t>product_periods</t>
  </si>
  <si>
    <t>product_profile</t>
  </si>
  <si>
    <t>product_rate</t>
  </si>
  <si>
    <t>产品利率</t>
  </si>
  <si>
    <t>product_reward</t>
  </si>
  <si>
    <t>产品投标奖励</t>
  </si>
  <si>
    <t>product_rule</t>
  </si>
  <si>
    <t>产品规则</t>
  </si>
  <si>
    <t>red_activity</t>
  </si>
  <si>
    <t>red_config</t>
  </si>
  <si>
    <t>red_fill_log</t>
  </si>
  <si>
    <t>red_mxd_log</t>
  </si>
  <si>
    <t>red_newuser</t>
  </si>
  <si>
    <t>red_olduser</t>
  </si>
  <si>
    <t>red_recover</t>
  </si>
  <si>
    <t>red_user_relation</t>
  </si>
  <si>
    <t>redpackge</t>
  </si>
  <si>
    <t>report_business_statistical</t>
  </si>
  <si>
    <t xml:space="preserve">业务统计报表
</t>
  </si>
  <si>
    <t>report_system</t>
  </si>
  <si>
    <t>reward_define</t>
  </si>
  <si>
    <t>奖品定义表</t>
  </si>
  <si>
    <t>reward_type_define</t>
  </si>
  <si>
    <t>奖品类型定义表</t>
  </si>
  <si>
    <t>sale_limit</t>
  </si>
  <si>
    <t>seven_years_wish</t>
  </si>
  <si>
    <t>share_items</t>
  </si>
  <si>
    <t>share_user_balance</t>
  </si>
  <si>
    <t>share_user_finance_log</t>
  </si>
  <si>
    <t>sync_2_nono_data</t>
  </si>
  <si>
    <t>sync_interest_log</t>
  </si>
  <si>
    <t>收益纪录同步日至表</t>
  </si>
  <si>
    <t>system_account</t>
  </si>
  <si>
    <t>system_admin_user</t>
  </si>
  <si>
    <t>system_app_version</t>
  </si>
  <si>
    <t>system_bank_branch_define</t>
  </si>
  <si>
    <t>system_city_define</t>
  </si>
  <si>
    <t>system_code</t>
  </si>
  <si>
    <t>system_lottery_reward</t>
  </si>
  <si>
    <t>system_month_rate</t>
  </si>
  <si>
    <t>system_notice</t>
  </si>
  <si>
    <t>系统公告表</t>
  </si>
  <si>
    <t>system_param</t>
  </si>
  <si>
    <t>system_privilege_code</t>
  </si>
  <si>
    <t>system_province_define</t>
  </si>
  <si>
    <t>system_proxy_config</t>
  </si>
  <si>
    <t>system_summary_info</t>
  </si>
  <si>
    <t>third_platform</t>
  </si>
  <si>
    <t>third_trade_log</t>
  </si>
  <si>
    <t>第三方平台交易流水记录</t>
  </si>
  <si>
    <t>third_trade_log_idname</t>
  </si>
  <si>
    <t>第三方平台交易流水记录-姓名身份证</t>
  </si>
  <si>
    <t>tiro_debt_info</t>
  </si>
  <si>
    <t>新手宝债券表</t>
  </si>
  <si>
    <t>tiro_gift_log</t>
  </si>
  <si>
    <t>注册礼包日志表</t>
  </si>
  <si>
    <t>tmp_50_numbers</t>
  </si>
  <si>
    <t>tmp_data_add</t>
  </si>
  <si>
    <t>tmp_id</t>
  </si>
  <si>
    <t>tmp_idfa</t>
  </si>
  <si>
    <t>tmp_muliti_account</t>
  </si>
  <si>
    <t>tmp_pingan_guotai</t>
  </si>
  <si>
    <t>tmp_reallocatedebt</t>
  </si>
  <si>
    <t>tmp_ucode</t>
  </si>
  <si>
    <t>trans_code</t>
  </si>
  <si>
    <t>trans_detail</t>
  </si>
  <si>
    <t>交易流水表</t>
  </si>
  <si>
    <t>trans_order_sync_tmp</t>
  </si>
  <si>
    <t>update_debt_log</t>
  </si>
  <si>
    <t>user</t>
  </si>
  <si>
    <t>会员信息表</t>
  </si>
  <si>
    <t>user_account</t>
  </si>
  <si>
    <t>用户账户信息</t>
  </si>
  <si>
    <t>user_account_tmp_data</t>
  </si>
  <si>
    <t>user_account_trans_log</t>
  </si>
  <si>
    <t>账户余额资金流向信息管理表</t>
  </si>
  <si>
    <t>user_address_list</t>
  </si>
  <si>
    <t>用户通讯录列表</t>
  </si>
  <si>
    <t>user_approach</t>
  </si>
  <si>
    <t>user_bank_limit</t>
  </si>
  <si>
    <t>用户取现卡额度表(同卡进出)</t>
  </si>
  <si>
    <t>user_bind_card</t>
  </si>
  <si>
    <t>绑定银行卡信息</t>
  </si>
  <si>
    <t>券的使用情况</t>
  </si>
  <si>
    <t>user_credit_limit</t>
  </si>
  <si>
    <t>user_data_change_log</t>
  </si>
  <si>
    <t>user_detail</t>
  </si>
  <si>
    <t>用户明细信息表</t>
  </si>
  <si>
    <t>user_extend_info</t>
  </si>
  <si>
    <t>user_idfa</t>
  </si>
  <si>
    <t>user_interest</t>
  </si>
  <si>
    <t>用户收益明细表</t>
  </si>
  <si>
    <t>user_invite_code_temp</t>
  </si>
  <si>
    <t>user_login_log</t>
  </si>
  <si>
    <t>用户多地登录管理表</t>
  </si>
  <si>
    <t>user_lottery_detail</t>
  </si>
  <si>
    <t>user_point</t>
  </si>
  <si>
    <t>用户积分表</t>
  </si>
  <si>
    <t>user_point_detail</t>
  </si>
  <si>
    <t>用户积分明细表</t>
  </si>
  <si>
    <t>user_product</t>
  </si>
  <si>
    <t>用户成功购买的产品列表汇总</t>
  </si>
  <si>
    <t>user_product_copy1</t>
  </si>
  <si>
    <t>user_product_detail</t>
  </si>
  <si>
    <t>购买产品明细</t>
  </si>
  <si>
    <t>user_relation</t>
  </si>
  <si>
    <t>user_reward</t>
  </si>
  <si>
    <t>user_reward_consume_log</t>
  </si>
  <si>
    <t>奖励信息消费</t>
  </si>
  <si>
    <t>user_reward_unique</t>
  </si>
  <si>
    <t>user_roulette</t>
  </si>
  <si>
    <t>大转盘抽奖活动记录</t>
  </si>
  <si>
    <t>user_roulette_copy</t>
  </si>
  <si>
    <t>user_roulette_help</t>
  </si>
  <si>
    <t>user_roulette_help_log</t>
  </si>
  <si>
    <t>user_roulette_log</t>
  </si>
  <si>
    <t>大转盘抽奖活动记录日志</t>
  </si>
  <si>
    <t>user_school_roll_authen_log</t>
  </si>
  <si>
    <t>user_share_records</t>
  </si>
  <si>
    <t>用户和分享用户的对应关系表</t>
  </si>
  <si>
    <t>user_type</t>
  </si>
  <si>
    <t>user_withdraw_money_log</t>
  </si>
  <si>
    <t>用户提现日志信息管理表</t>
  </si>
  <si>
    <t>user_woman</t>
  </si>
  <si>
    <t>userproduct_ratecard_relation</t>
  </si>
  <si>
    <t>wechat_activity_info</t>
  </si>
  <si>
    <t>wechat_activity_message</t>
  </si>
  <si>
    <t>wechat_activity_reward</t>
  </si>
  <si>
    <t>wechat_message_dolike_detail</t>
  </si>
  <si>
    <t>wechat_user_info</t>
  </si>
  <si>
    <t>wechat_user_info_copy</t>
  </si>
  <si>
    <t>wechat_user_relation</t>
  </si>
  <si>
    <t>welfare_info</t>
  </si>
  <si>
    <t>welfare_privilege_code</t>
  </si>
  <si>
    <t>welfare_privilege_code_newbaby</t>
  </si>
  <si>
    <t>新手福利信息表</t>
  </si>
  <si>
    <t>withdraw_log</t>
  </si>
  <si>
    <t>用户提现流水记录</t>
  </si>
  <si>
    <t>withdraw_recharge_rel</t>
  </si>
  <si>
    <t>提现时关联的产品信息</t>
  </si>
  <si>
    <t>withdraw_reward</t>
  </si>
  <si>
    <t>withdraw_reward_bank</t>
  </si>
  <si>
    <t>withdraw_reward_token</t>
  </si>
  <si>
    <t>z_user_bank_limit</t>
  </si>
  <si>
    <t>流程</t>
    <phoneticPr fontId="1" type="noConversion"/>
  </si>
  <si>
    <t>用户异步关系</t>
    <phoneticPr fontId="1" type="noConversion"/>
  </si>
  <si>
    <t>activity_interest</t>
    <phoneticPr fontId="1" type="noConversion"/>
  </si>
  <si>
    <t>镑客大使邀请</t>
    <phoneticPr fontId="1" type="noConversion"/>
  </si>
  <si>
    <t>诺诺会员商城</t>
    <phoneticPr fontId="1" type="noConversion"/>
  </si>
  <si>
    <t>充值</t>
    <phoneticPr fontId="1" type="noConversion"/>
  </si>
  <si>
    <t>0元付账单微信二维码预支付参数表</t>
    <phoneticPr fontId="1" type="noConversion"/>
  </si>
  <si>
    <t>0元付</t>
    <phoneticPr fontId="1" type="noConversion"/>
  </si>
  <si>
    <t>渠道、理财顾问</t>
    <phoneticPr fontId="1" type="noConversion"/>
  </si>
  <si>
    <t>理财顾问归属</t>
    <phoneticPr fontId="1" type="noConversion"/>
  </si>
  <si>
    <t>镑客码 对应原数据库bankcode</t>
    <phoneticPr fontId="1" type="noConversion"/>
  </si>
  <si>
    <t>贷后催收</t>
    <phoneticPr fontId="1" type="noConversion"/>
  </si>
  <si>
    <t>预发标</t>
    <phoneticPr fontId="1" type="noConversion"/>
  </si>
  <si>
    <t>借入者还款表</t>
    <phoneticPr fontId="1" type="noConversion"/>
  </si>
  <si>
    <t>虚拟币种</t>
    <phoneticPr fontId="1" type="noConversion"/>
  </si>
  <si>
    <t>券</t>
    <phoneticPr fontId="1" type="noConversion"/>
  </si>
  <si>
    <t>0元付</t>
    <phoneticPr fontId="1" type="noConversion"/>
  </si>
  <si>
    <t>投资收款</t>
    <phoneticPr fontId="1" type="noConversion"/>
  </si>
  <si>
    <t>投资收款</t>
    <phoneticPr fontId="1" type="noConversion"/>
  </si>
  <si>
    <t>充值</t>
    <phoneticPr fontId="1" type="noConversion"/>
  </si>
  <si>
    <t>认证</t>
    <phoneticPr fontId="1" type="noConversion"/>
  </si>
  <si>
    <t>认证</t>
    <phoneticPr fontId="1" type="noConversion"/>
  </si>
  <si>
    <t>充值</t>
    <phoneticPr fontId="1" type="noConversion"/>
  </si>
  <si>
    <t>验证</t>
    <phoneticPr fontId="1" type="noConversion"/>
  </si>
  <si>
    <t>验证</t>
    <phoneticPr fontId="1" type="noConversion"/>
  </si>
  <si>
    <t>券</t>
    <phoneticPr fontId="1" type="noConversion"/>
  </si>
  <si>
    <t>短信</t>
    <phoneticPr fontId="1" type="noConversion"/>
  </si>
  <si>
    <t>充值</t>
    <phoneticPr fontId="1" type="noConversion"/>
  </si>
  <si>
    <t>0元计划客户地址</t>
    <phoneticPr fontId="1" type="noConversion"/>
  </si>
  <si>
    <t>提现</t>
    <phoneticPr fontId="1" type="noConversion"/>
  </si>
  <si>
    <t>充值</t>
    <phoneticPr fontId="1" type="noConversion"/>
  </si>
  <si>
    <t>投资</t>
    <phoneticPr fontId="1" type="noConversion"/>
  </si>
  <si>
    <t>基础信息变更</t>
    <phoneticPr fontId="1" type="noConversion"/>
  </si>
  <si>
    <t>用户</t>
    <phoneticPr fontId="1" type="noConversion"/>
  </si>
  <si>
    <t>维表</t>
    <phoneticPr fontId="1" type="noConversion"/>
  </si>
  <si>
    <t>诺诺活动</t>
    <phoneticPr fontId="1" type="noConversion"/>
  </si>
  <si>
    <t>区域</t>
    <phoneticPr fontId="1" type="noConversion"/>
  </si>
  <si>
    <t>认证</t>
    <phoneticPr fontId="1" type="noConversion"/>
  </si>
  <si>
    <t>维表</t>
    <phoneticPr fontId="1" type="noConversion"/>
  </si>
  <si>
    <t>资金</t>
    <phoneticPr fontId="1" type="noConversion"/>
  </si>
  <si>
    <t>资金账户</t>
    <phoneticPr fontId="1" type="noConversion"/>
  </si>
  <si>
    <t>资金账户</t>
    <phoneticPr fontId="1" type="noConversion"/>
  </si>
  <si>
    <t>投资订单</t>
    <phoneticPr fontId="1" type="noConversion"/>
  </si>
  <si>
    <t>投资兑付</t>
    <phoneticPr fontId="1" type="noConversion"/>
  </si>
  <si>
    <t>投资产品</t>
    <phoneticPr fontId="1" type="noConversion"/>
  </si>
  <si>
    <t>贷款代偿</t>
    <phoneticPr fontId="1" type="noConversion"/>
  </si>
  <si>
    <t>贷款审批</t>
    <phoneticPr fontId="1" type="noConversion"/>
  </si>
  <si>
    <t>用户登录</t>
    <phoneticPr fontId="1" type="noConversion"/>
  </si>
  <si>
    <t>贷款产品</t>
    <phoneticPr fontId="1" type="noConversion"/>
  </si>
  <si>
    <t>贷后黑名单</t>
    <phoneticPr fontId="1" type="noConversion"/>
  </si>
  <si>
    <t>贷款表</t>
  </si>
  <si>
    <t>贷款联系人</t>
  </si>
  <si>
    <t>贷款申请进件</t>
  </si>
  <si>
    <t>贷款预发</t>
  </si>
  <si>
    <t>贷款一键再借</t>
  </si>
  <si>
    <t>贷款还款表</t>
    <phoneticPr fontId="1" type="noConversion"/>
  </si>
  <si>
    <t>贷款咨询费</t>
    <phoneticPr fontId="1" type="noConversion"/>
  </si>
  <si>
    <t>资产打包</t>
    <phoneticPr fontId="1" type="noConversion"/>
  </si>
  <si>
    <t>维表</t>
    <phoneticPr fontId="1" type="noConversion"/>
  </si>
  <si>
    <t>维表</t>
    <phoneticPr fontId="1" type="noConversion"/>
  </si>
  <si>
    <t>贷款</t>
    <phoneticPr fontId="1" type="noConversion"/>
  </si>
  <si>
    <t>充值</t>
    <phoneticPr fontId="1" type="noConversion"/>
  </si>
  <si>
    <t>充值</t>
    <phoneticPr fontId="1" type="noConversion"/>
  </si>
  <si>
    <t>券</t>
    <phoneticPr fontId="1" type="noConversion"/>
  </si>
  <si>
    <t>投资订单</t>
    <phoneticPr fontId="1" type="noConversion"/>
  </si>
  <si>
    <t>投资产品</t>
    <phoneticPr fontId="1" type="noConversion"/>
  </si>
  <si>
    <t>投资订单</t>
    <phoneticPr fontId="1" type="noConversion"/>
  </si>
  <si>
    <t>投资产品</t>
    <phoneticPr fontId="1" type="noConversion"/>
  </si>
  <si>
    <t>投资订单</t>
    <phoneticPr fontId="1" type="noConversion"/>
  </si>
  <si>
    <t>维表</t>
    <phoneticPr fontId="1" type="noConversion"/>
  </si>
  <si>
    <t>验证</t>
    <phoneticPr fontId="1" type="noConversion"/>
  </si>
  <si>
    <t>注册</t>
    <phoneticPr fontId="1" type="noConversion"/>
  </si>
  <si>
    <t>认证</t>
    <phoneticPr fontId="1" type="noConversion"/>
  </si>
  <si>
    <t>认证</t>
    <phoneticPr fontId="1" type="noConversion"/>
  </si>
  <si>
    <t>登录</t>
    <phoneticPr fontId="1" type="noConversion"/>
  </si>
  <si>
    <t>投资产品</t>
    <phoneticPr fontId="1" type="noConversion"/>
  </si>
  <si>
    <t>账户</t>
    <phoneticPr fontId="1" type="noConversion"/>
  </si>
  <si>
    <t>投资兑付</t>
    <phoneticPr fontId="1" type="noConversion"/>
  </si>
  <si>
    <t>vip_account</t>
    <phoneticPr fontId="1" type="noConversion"/>
  </si>
  <si>
    <t>贷款订单</t>
    <phoneticPr fontId="1" type="noConversion"/>
  </si>
  <si>
    <t>认证</t>
    <phoneticPr fontId="1" type="noConversion"/>
  </si>
  <si>
    <t>充值</t>
    <phoneticPr fontId="1" type="noConversion"/>
  </si>
  <si>
    <t>贷后</t>
    <phoneticPr fontId="1" type="noConversion"/>
  </si>
  <si>
    <t>活动</t>
    <phoneticPr fontId="1" type="noConversion"/>
  </si>
  <si>
    <t>券</t>
    <phoneticPr fontId="1" type="noConversion"/>
  </si>
  <si>
    <t>贴心计划</t>
    <phoneticPr fontId="1" type="noConversion"/>
  </si>
  <si>
    <t>精选计划</t>
    <phoneticPr fontId="1" type="noConversion"/>
  </si>
  <si>
    <t>渠道</t>
    <phoneticPr fontId="1" type="noConversion"/>
  </si>
  <si>
    <t>活动</t>
    <phoneticPr fontId="1" type="noConversion"/>
  </si>
  <si>
    <t>认证</t>
    <phoneticPr fontId="1" type="noConversion"/>
  </si>
  <si>
    <t xml:space="preserve">SELECT * FROM </t>
    <phoneticPr fontId="1" type="noConversion"/>
  </si>
  <si>
    <t>WHERE user_id=@user_id limit 10;</t>
    <phoneticPr fontId="1" type="noConversion"/>
  </si>
  <si>
    <t xml:space="preserve">SELECT * FROM </t>
    <phoneticPr fontId="1" type="noConversion"/>
  </si>
  <si>
    <t xml:space="preserve"> limit 10;</t>
    <phoneticPr fontId="1" type="noConversion"/>
  </si>
  <si>
    <t>注册</t>
    <phoneticPr fontId="1" type="noConversion"/>
  </si>
  <si>
    <t>券</t>
    <phoneticPr fontId="1" type="noConversion"/>
  </si>
  <si>
    <t>活动</t>
    <phoneticPr fontId="1" type="noConversion"/>
  </si>
  <si>
    <t>类别/表名</t>
    <phoneticPr fontId="1" type="noConversion"/>
  </si>
  <si>
    <t>表描述</t>
    <phoneticPr fontId="1" type="noConversion"/>
  </si>
  <si>
    <t>发息</t>
    <phoneticPr fontId="1" type="noConversion"/>
  </si>
  <si>
    <t>虚拟币种</t>
    <phoneticPr fontId="1" type="noConversion"/>
  </si>
  <si>
    <t>产品</t>
    <phoneticPr fontId="1" type="noConversion"/>
  </si>
  <si>
    <t>资金</t>
    <phoneticPr fontId="1" type="noConversion"/>
  </si>
  <si>
    <t>券</t>
    <phoneticPr fontId="1" type="noConversion"/>
  </si>
  <si>
    <t>提现</t>
    <phoneticPr fontId="1" type="noConversion"/>
  </si>
  <si>
    <t>充值</t>
    <phoneticPr fontId="1" type="noConversion"/>
  </si>
  <si>
    <t>用户</t>
    <phoneticPr fontId="1" type="noConversion"/>
  </si>
  <si>
    <t>DW_Nono_Recharge</t>
    <phoneticPr fontId="1" type="noConversion"/>
  </si>
  <si>
    <t>DW_Nono_Recharge_Finance</t>
    <phoneticPr fontId="1" type="noConversion"/>
  </si>
  <si>
    <t>类别/表名</t>
    <phoneticPr fontId="1" type="noConversion"/>
  </si>
  <si>
    <t>虚拟货币</t>
    <phoneticPr fontId="1" type="noConversion"/>
  </si>
  <si>
    <t>麦芽分期</t>
    <phoneticPr fontId="1" type="noConversion"/>
  </si>
  <si>
    <t>用户</t>
    <phoneticPr fontId="1" type="noConversion"/>
  </si>
  <si>
    <t>商户</t>
    <phoneticPr fontId="1" type="noConversion"/>
  </si>
  <si>
    <t>审核</t>
    <phoneticPr fontId="1" type="noConversion"/>
  </si>
  <si>
    <t>贷款订单</t>
    <phoneticPr fontId="1" type="noConversion"/>
  </si>
  <si>
    <t>认证</t>
    <phoneticPr fontId="1" type="noConversion"/>
  </si>
  <si>
    <t>诺诺、名校贷、大房东、unifi</t>
    <phoneticPr fontId="1" type="noConversion"/>
  </si>
  <si>
    <t>财神爷爷</t>
    <phoneticPr fontId="1" type="noConversion"/>
  </si>
  <si>
    <t>表描述</t>
    <phoneticPr fontId="1" type="noConversion"/>
  </si>
  <si>
    <t>vip_account</t>
    <phoneticPr fontId="1" type="noConversion"/>
  </si>
  <si>
    <t>fund_account</t>
    <phoneticPr fontId="1" type="noConversion"/>
  </si>
  <si>
    <t>finance_account</t>
    <phoneticPr fontId="1" type="noConversion"/>
  </si>
  <si>
    <t>订单</t>
    <phoneticPr fontId="1" type="noConversion"/>
  </si>
  <si>
    <t>产品账户</t>
    <phoneticPr fontId="1" type="noConversion"/>
  </si>
  <si>
    <t>资金账户区别</t>
    <phoneticPr fontId="1" type="noConversion"/>
  </si>
  <si>
    <t>27/35</t>
    <phoneticPr fontId="1" type="noConversion"/>
  </si>
  <si>
    <t>trans_detail</t>
    <phoneticPr fontId="1" type="noConversion"/>
  </si>
  <si>
    <t>user_product</t>
    <phoneticPr fontId="1" type="noConversion"/>
  </si>
  <si>
    <t>merchant_regular_account</t>
    <phoneticPr fontId="1" type="noConversion"/>
  </si>
  <si>
    <t>user_info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</si>
</sst>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0" fontId="0" fillId="4" borderId="0" xfId="0" applyFill="1"/>
    <xf numFmtId="0" fontId="0" fillId="2" borderId="2" xfId="0" applyFont="1" applyFill="1" applyBorder="1"/>
    <xf numFmtId="14" fontId="0" fillId="0" borderId="0" xfId="0" applyNumberFormat="1"/>
    <xf numFmtId="176" fontId="0" fillId="0" borderId="0" xfId="0" applyNumberFormat="1"/>
    <xf numFmtId="0" fontId="0" fillId="5" borderId="0" xfId="0" applyFill="1"/>
    <xf numFmtId="14" fontId="0" fillId="5" borderId="0" xfId="0" applyNumberFormat="1" applyFill="1"/>
    <xf numFmtId="176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176" fontId="0" fillId="6" borderId="0" xfId="0" applyNumberFormat="1" applyFill="1"/>
    <xf numFmtId="0" fontId="2" fillId="0" borderId="0" xfId="0" applyFont="1"/>
    <xf numFmtId="0" fontId="3" fillId="0" borderId="0" xfId="0" applyFont="1"/>
    <xf numFmtId="0" fontId="0" fillId="0" borderId="0" xfId="0" applyFill="1"/>
    <xf numFmtId="14" fontId="0" fillId="0" borderId="0" xfId="0" applyNumberFormat="1" applyFill="1"/>
    <xf numFmtId="176" fontId="0" fillId="0" borderId="0" xfId="0" applyNumberFormat="1" applyFill="1"/>
    <xf numFmtId="0" fontId="4" fillId="0" borderId="1" xfId="0" applyFont="1" applyBorder="1"/>
    <xf numFmtId="0" fontId="4" fillId="0" borderId="2" xfId="0" applyFont="1" applyBorder="1"/>
    <xf numFmtId="0" fontId="5" fillId="7" borderId="1" xfId="0" applyFont="1" applyFill="1" applyBorder="1"/>
    <xf numFmtId="0" fontId="6" fillId="8" borderId="1" xfId="0" applyFont="1" applyFill="1" applyBorder="1"/>
    <xf numFmtId="0" fontId="7" fillId="8" borderId="1" xfId="0" applyFont="1" applyFill="1" applyBorder="1"/>
    <xf numFmtId="0" fontId="6" fillId="6" borderId="1" xfId="0" applyFont="1" applyFill="1" applyBorder="1"/>
    <xf numFmtId="0" fontId="7" fillId="6" borderId="1" xfId="0" applyFont="1" applyFill="1" applyBorder="1"/>
    <xf numFmtId="0" fontId="5" fillId="7" borderId="4" xfId="0" applyFont="1" applyFill="1" applyBorder="1"/>
    <xf numFmtId="0" fontId="7" fillId="6" borderId="4" xfId="0" applyFont="1" applyFill="1" applyBorder="1"/>
    <xf numFmtId="0" fontId="7" fillId="8" borderId="4" xfId="0" applyFont="1" applyFill="1" applyBorder="1"/>
    <xf numFmtId="0" fontId="5" fillId="8" borderId="7" xfId="0" applyFont="1" applyFill="1" applyBorder="1"/>
    <xf numFmtId="0" fontId="5" fillId="8" borderId="4" xfId="0" applyFont="1" applyFill="1" applyBorder="1"/>
    <xf numFmtId="0" fontId="6" fillId="8" borderId="7" xfId="0" applyFont="1" applyFill="1" applyBorder="1"/>
    <xf numFmtId="0" fontId="7" fillId="8" borderId="7" xfId="0" applyFont="1" applyFill="1" applyBorder="1"/>
    <xf numFmtId="0" fontId="7" fillId="6" borderId="3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/>
    </xf>
    <xf numFmtId="0" fontId="0" fillId="7" borderId="8" xfId="0" applyFill="1" applyBorder="1"/>
    <xf numFmtId="0" fontId="7" fillId="0" borderId="8" xfId="0" applyFont="1" applyFill="1" applyBorder="1"/>
    <xf numFmtId="0" fontId="0" fillId="0" borderId="8" xfId="0" applyFill="1" applyBorder="1"/>
    <xf numFmtId="0" fontId="0" fillId="7" borderId="8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Fill="1" applyBorder="1" applyAlignment="1">
      <alignment vertic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6</xdr:row>
      <xdr:rowOff>85725</xdr:rowOff>
    </xdr:from>
    <xdr:to>
      <xdr:col>15</xdr:col>
      <xdr:colOff>417764</xdr:colOff>
      <xdr:row>26</xdr:row>
      <xdr:rowOff>37651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47675"/>
          <a:ext cx="10685714" cy="3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66675</xdr:rowOff>
    </xdr:from>
    <xdr:to>
      <xdr:col>15</xdr:col>
      <xdr:colOff>293952</xdr:colOff>
      <xdr:row>5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47650"/>
          <a:ext cx="10580952" cy="3600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13</xdr:col>
      <xdr:colOff>589362</xdr:colOff>
      <xdr:row>51</xdr:row>
      <xdr:rowOff>180432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39100"/>
          <a:ext cx="9504762" cy="43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C11" sqref="C11"/>
    </sheetView>
  </sheetViews>
  <sheetFormatPr defaultRowHeight="14.25" x14ac:dyDescent="0.2"/>
  <cols>
    <col min="1" max="1" width="9" bestFit="1" customWidth="1"/>
    <col min="2" max="2" width="8.75" bestFit="1" customWidth="1"/>
    <col min="3" max="3" width="17.125" customWidth="1"/>
    <col min="4" max="4" width="18.375" customWidth="1"/>
    <col min="6" max="6" width="4" customWidth="1"/>
    <col min="7" max="7" width="4.875" bestFit="1" customWidth="1"/>
    <col min="8" max="8" width="5.125" bestFit="1" customWidth="1"/>
    <col min="9" max="9" width="4.25" bestFit="1" customWidth="1"/>
    <col min="10" max="10" width="4.75" bestFit="1" customWidth="1"/>
    <col min="11" max="11" width="6.375" bestFit="1" customWidth="1"/>
  </cols>
  <sheetData>
    <row r="1" spans="1:11" x14ac:dyDescent="0.2">
      <c r="A1" t="s">
        <v>0</v>
      </c>
    </row>
    <row r="2" spans="1:11" x14ac:dyDescent="0.2">
      <c r="A2" s="3" t="s">
        <v>0</v>
      </c>
      <c r="B2" s="3" t="s">
        <v>6</v>
      </c>
      <c r="C2" s="3" t="s">
        <v>1</v>
      </c>
      <c r="D2" s="3" t="s">
        <v>2</v>
      </c>
      <c r="E2" s="3" t="s">
        <v>27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</row>
    <row r="3" spans="1:11" x14ac:dyDescent="0.2">
      <c r="A3" t="s">
        <v>9</v>
      </c>
      <c r="B3" t="s">
        <v>8</v>
      </c>
      <c r="C3" s="1" t="s">
        <v>3</v>
      </c>
      <c r="D3" s="1" t="s">
        <v>4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</row>
    <row r="4" spans="1:11" x14ac:dyDescent="0.2">
      <c r="A4" t="s">
        <v>9</v>
      </c>
      <c r="B4" t="s">
        <v>8</v>
      </c>
      <c r="C4" s="2" t="s">
        <v>10</v>
      </c>
      <c r="D4" t="s">
        <v>11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</row>
    <row r="5" spans="1:11" x14ac:dyDescent="0.2">
      <c r="A5" t="s">
        <v>9</v>
      </c>
      <c r="B5" t="s">
        <v>8</v>
      </c>
      <c r="C5" s="1" t="s">
        <v>12</v>
      </c>
      <c r="D5" t="s">
        <v>14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</row>
    <row r="6" spans="1:11" x14ac:dyDescent="0.2">
      <c r="A6" t="s">
        <v>9</v>
      </c>
      <c r="B6" t="s">
        <v>8</v>
      </c>
      <c r="C6" s="2" t="s">
        <v>13</v>
      </c>
      <c r="D6" t="s">
        <v>15</v>
      </c>
      <c r="F6">
        <v>1</v>
      </c>
      <c r="G6">
        <v>0</v>
      </c>
      <c r="H6">
        <v>1</v>
      </c>
      <c r="I6">
        <v>1</v>
      </c>
      <c r="J6">
        <v>1</v>
      </c>
      <c r="K6">
        <v>0</v>
      </c>
    </row>
    <row r="7" spans="1:11" x14ac:dyDescent="0.2">
      <c r="A7" t="s">
        <v>16</v>
      </c>
      <c r="B7" s="4" t="s">
        <v>7</v>
      </c>
      <c r="C7" s="1" t="s">
        <v>23</v>
      </c>
      <c r="D7" s="1" t="s">
        <v>24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2">
      <c r="A8" t="s">
        <v>16</v>
      </c>
      <c r="B8" s="4" t="s">
        <v>7</v>
      </c>
      <c r="C8" s="1" t="s">
        <v>25</v>
      </c>
      <c r="D8" s="1" t="s">
        <v>26</v>
      </c>
    </row>
    <row r="9" spans="1:11" x14ac:dyDescent="0.2">
      <c r="A9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7"/>
  <sheetViews>
    <sheetView workbookViewId="0">
      <selection sqref="A1:XFD1048576"/>
    </sheetView>
  </sheetViews>
  <sheetFormatPr defaultRowHeight="14.25" x14ac:dyDescent="0.2"/>
  <cols>
    <col min="1" max="1" width="12.75" bestFit="1" customWidth="1"/>
    <col min="2" max="2" width="35.375" bestFit="1" customWidth="1"/>
    <col min="3" max="3" width="24" customWidth="1"/>
    <col min="4" max="4" width="6.75" customWidth="1"/>
    <col min="5" max="5" width="11.125" bestFit="1" customWidth="1"/>
    <col min="6" max="6" width="24" customWidth="1"/>
    <col min="7" max="7" width="9.5" bestFit="1" customWidth="1"/>
  </cols>
  <sheetData>
    <row r="1" spans="1:7" x14ac:dyDescent="0.2">
      <c r="A1" t="s">
        <v>5</v>
      </c>
      <c r="B1" t="s">
        <v>29</v>
      </c>
      <c r="C1" t="s">
        <v>30</v>
      </c>
      <c r="D1" t="s">
        <v>31</v>
      </c>
      <c r="E1" s="5" t="s">
        <v>32</v>
      </c>
      <c r="F1" t="s">
        <v>33</v>
      </c>
      <c r="G1" t="s">
        <v>34</v>
      </c>
    </row>
    <row r="2" spans="1:7" x14ac:dyDescent="0.2">
      <c r="A2" t="s">
        <v>7</v>
      </c>
      <c r="B2" t="s">
        <v>35</v>
      </c>
      <c r="C2" t="s">
        <v>36</v>
      </c>
      <c r="D2">
        <v>62</v>
      </c>
      <c r="E2" s="5">
        <v>42315.693923611114</v>
      </c>
      <c r="F2" t="s">
        <v>36</v>
      </c>
      <c r="G2" s="6">
        <v>-1</v>
      </c>
    </row>
    <row r="3" spans="1:7" x14ac:dyDescent="0.2">
      <c r="A3" t="s">
        <v>7</v>
      </c>
      <c r="B3" t="s">
        <v>37</v>
      </c>
      <c r="C3" t="s">
        <v>38</v>
      </c>
      <c r="D3">
        <v>0</v>
      </c>
      <c r="E3" s="5">
        <v>42185.930243055554</v>
      </c>
      <c r="F3" t="s">
        <v>38</v>
      </c>
      <c r="G3" s="6">
        <v>0</v>
      </c>
    </row>
    <row r="4" spans="1:7" x14ac:dyDescent="0.2">
      <c r="A4" t="s">
        <v>7</v>
      </c>
      <c r="B4" t="s">
        <v>39</v>
      </c>
      <c r="C4" t="s">
        <v>38</v>
      </c>
      <c r="D4">
        <v>16</v>
      </c>
      <c r="E4" s="5">
        <v>42185.930543981478</v>
      </c>
      <c r="F4" t="s">
        <v>38</v>
      </c>
      <c r="G4" s="6">
        <v>0</v>
      </c>
    </row>
    <row r="5" spans="1:7" x14ac:dyDescent="0.2">
      <c r="A5" t="s">
        <v>7</v>
      </c>
      <c r="B5" t="s">
        <v>40</v>
      </c>
      <c r="C5" t="s">
        <v>38</v>
      </c>
      <c r="D5">
        <v>3</v>
      </c>
      <c r="E5" s="5">
        <v>42185.930949074071</v>
      </c>
      <c r="F5" t="s">
        <v>38</v>
      </c>
      <c r="G5" s="6">
        <v>0</v>
      </c>
    </row>
    <row r="6" spans="1:7" x14ac:dyDescent="0.2">
      <c r="A6" t="s">
        <v>7</v>
      </c>
      <c r="B6" t="s">
        <v>41</v>
      </c>
      <c r="C6" t="s">
        <v>38</v>
      </c>
      <c r="D6">
        <v>9</v>
      </c>
      <c r="E6" s="5">
        <v>42185.930798611109</v>
      </c>
      <c r="F6" t="s">
        <v>38</v>
      </c>
      <c r="G6" s="6">
        <v>0</v>
      </c>
    </row>
    <row r="7" spans="1:7" x14ac:dyDescent="0.2">
      <c r="A7" t="s">
        <v>7</v>
      </c>
      <c r="B7" t="s">
        <v>42</v>
      </c>
      <c r="C7" t="s">
        <v>38</v>
      </c>
      <c r="D7">
        <v>85</v>
      </c>
      <c r="E7" s="5">
        <v>42185.931273148148</v>
      </c>
      <c r="F7" t="s">
        <v>38</v>
      </c>
      <c r="G7" s="6">
        <v>0</v>
      </c>
    </row>
    <row r="8" spans="1:7" x14ac:dyDescent="0.2">
      <c r="A8" t="s">
        <v>7</v>
      </c>
      <c r="B8" t="s">
        <v>43</v>
      </c>
      <c r="C8" t="s">
        <v>38</v>
      </c>
      <c r="D8">
        <v>15</v>
      </c>
      <c r="E8" s="5">
        <v>42185.931122685186</v>
      </c>
      <c r="F8" t="s">
        <v>38</v>
      </c>
      <c r="G8" s="6">
        <v>0</v>
      </c>
    </row>
    <row r="9" spans="1:7" x14ac:dyDescent="0.2">
      <c r="A9" t="s">
        <v>7</v>
      </c>
      <c r="B9" t="s">
        <v>44</v>
      </c>
      <c r="C9" t="s">
        <v>38</v>
      </c>
      <c r="D9">
        <v>0</v>
      </c>
      <c r="E9" s="5">
        <v>42185.931516203702</v>
      </c>
      <c r="F9" t="s">
        <v>38</v>
      </c>
      <c r="G9" s="6">
        <v>0</v>
      </c>
    </row>
    <row r="10" spans="1:7" x14ac:dyDescent="0.2">
      <c r="A10" t="s">
        <v>7</v>
      </c>
      <c r="B10" t="s">
        <v>45</v>
      </c>
      <c r="C10" t="s">
        <v>38</v>
      </c>
      <c r="D10">
        <v>0</v>
      </c>
      <c r="E10" s="5">
        <v>42185.931516203702</v>
      </c>
      <c r="F10" t="s">
        <v>38</v>
      </c>
      <c r="G10" s="6">
        <v>0</v>
      </c>
    </row>
    <row r="11" spans="1:7" x14ac:dyDescent="0.2">
      <c r="A11" t="s">
        <v>7</v>
      </c>
      <c r="B11" t="s">
        <v>46</v>
      </c>
      <c r="C11" t="s">
        <v>38</v>
      </c>
      <c r="D11">
        <v>6</v>
      </c>
      <c r="E11" s="5">
        <v>42185.931527777779</v>
      </c>
      <c r="F11" t="s">
        <v>38</v>
      </c>
      <c r="G11" s="6">
        <v>0</v>
      </c>
    </row>
    <row r="12" spans="1:7" x14ac:dyDescent="0.2">
      <c r="A12" t="s">
        <v>7</v>
      </c>
      <c r="B12" t="s">
        <v>47</v>
      </c>
      <c r="C12" t="s">
        <v>38</v>
      </c>
      <c r="D12">
        <v>1</v>
      </c>
      <c r="E12" s="5">
        <v>42185.931539351855</v>
      </c>
      <c r="F12" t="s">
        <v>38</v>
      </c>
      <c r="G12" s="6">
        <v>1</v>
      </c>
    </row>
    <row r="13" spans="1:7" x14ac:dyDescent="0.2">
      <c r="A13" t="s">
        <v>7</v>
      </c>
      <c r="B13" t="s">
        <v>48</v>
      </c>
      <c r="C13" t="s">
        <v>38</v>
      </c>
      <c r="D13">
        <v>6</v>
      </c>
      <c r="E13" s="5">
        <v>42185.931539351855</v>
      </c>
      <c r="F13" t="s">
        <v>38</v>
      </c>
      <c r="G13" s="6">
        <v>0</v>
      </c>
    </row>
    <row r="14" spans="1:7" x14ac:dyDescent="0.2">
      <c r="A14" t="s">
        <v>7</v>
      </c>
      <c r="B14" t="s">
        <v>49</v>
      </c>
      <c r="C14" t="s">
        <v>38</v>
      </c>
      <c r="D14">
        <v>2</v>
      </c>
      <c r="E14" s="5">
        <v>42185.931550925925</v>
      </c>
      <c r="F14" t="s">
        <v>38</v>
      </c>
      <c r="G14" s="6">
        <v>0</v>
      </c>
    </row>
    <row r="15" spans="1:7" x14ac:dyDescent="0.2">
      <c r="A15" t="s">
        <v>7</v>
      </c>
      <c r="B15" t="s">
        <v>50</v>
      </c>
      <c r="C15" t="s">
        <v>38</v>
      </c>
      <c r="D15">
        <v>0</v>
      </c>
      <c r="E15" s="5">
        <v>42185.931550925925</v>
      </c>
      <c r="F15" t="s">
        <v>38</v>
      </c>
      <c r="G15" s="6">
        <v>0</v>
      </c>
    </row>
    <row r="16" spans="1:7" x14ac:dyDescent="0.2">
      <c r="A16" t="s">
        <v>7</v>
      </c>
      <c r="B16" t="s">
        <v>51</v>
      </c>
      <c r="C16" t="s">
        <v>38</v>
      </c>
      <c r="D16">
        <v>1</v>
      </c>
      <c r="E16" s="5">
        <v>42185.931550925925</v>
      </c>
      <c r="F16" t="s">
        <v>38</v>
      </c>
      <c r="G16" s="6">
        <v>0</v>
      </c>
    </row>
    <row r="17" spans="1:7" x14ac:dyDescent="0.2">
      <c r="A17" t="s">
        <v>7</v>
      </c>
      <c r="B17" t="s">
        <v>52</v>
      </c>
      <c r="C17" t="s">
        <v>38</v>
      </c>
      <c r="D17">
        <v>0</v>
      </c>
      <c r="E17" s="5">
        <v>42185.931550925925</v>
      </c>
      <c r="F17" t="s">
        <v>38</v>
      </c>
      <c r="G17" s="6">
        <v>0</v>
      </c>
    </row>
    <row r="18" spans="1:7" x14ac:dyDescent="0.2">
      <c r="A18" t="s">
        <v>7</v>
      </c>
      <c r="B18" t="s">
        <v>53</v>
      </c>
      <c r="C18" t="s">
        <v>38</v>
      </c>
      <c r="D18">
        <v>0</v>
      </c>
      <c r="E18" s="5">
        <v>42185.931562500002</v>
      </c>
      <c r="F18" t="s">
        <v>38</v>
      </c>
      <c r="G18" s="6">
        <v>0</v>
      </c>
    </row>
    <row r="19" spans="1:7" x14ac:dyDescent="0.2">
      <c r="A19" t="s">
        <v>7</v>
      </c>
      <c r="B19" t="s">
        <v>54</v>
      </c>
      <c r="C19" t="s">
        <v>38</v>
      </c>
      <c r="D19">
        <v>6</v>
      </c>
      <c r="E19" s="5">
        <v>42185.931562500002</v>
      </c>
      <c r="F19" t="s">
        <v>38</v>
      </c>
      <c r="G19" s="6">
        <v>0</v>
      </c>
    </row>
    <row r="20" spans="1:7" x14ac:dyDescent="0.2">
      <c r="A20" t="s">
        <v>7</v>
      </c>
      <c r="B20" t="s">
        <v>55</v>
      </c>
      <c r="C20" t="s">
        <v>38</v>
      </c>
      <c r="D20">
        <v>6</v>
      </c>
      <c r="E20" s="5">
        <v>42185.931643518517</v>
      </c>
      <c r="F20" t="s">
        <v>38</v>
      </c>
      <c r="G20" s="6">
        <v>0</v>
      </c>
    </row>
    <row r="21" spans="1:7" x14ac:dyDescent="0.2">
      <c r="A21" t="s">
        <v>7</v>
      </c>
      <c r="B21" t="s">
        <v>56</v>
      </c>
      <c r="C21" t="s">
        <v>57</v>
      </c>
      <c r="D21">
        <v>32</v>
      </c>
      <c r="E21" s="5">
        <v>42174.734988425924</v>
      </c>
      <c r="F21" t="s">
        <v>57</v>
      </c>
      <c r="G21" s="6">
        <v>0</v>
      </c>
    </row>
    <row r="22" spans="1:7" x14ac:dyDescent="0.2">
      <c r="A22" t="s">
        <v>7</v>
      </c>
      <c r="B22" t="s">
        <v>58</v>
      </c>
      <c r="C22" t="s">
        <v>38</v>
      </c>
      <c r="D22">
        <v>1896118</v>
      </c>
      <c r="E22" s="5">
        <v>42326.969444444447</v>
      </c>
      <c r="F22" t="s">
        <v>38</v>
      </c>
      <c r="G22" s="6">
        <v>-25163</v>
      </c>
    </row>
    <row r="23" spans="1:7" x14ac:dyDescent="0.2">
      <c r="A23" t="s">
        <v>7</v>
      </c>
      <c r="B23" t="s">
        <v>59</v>
      </c>
      <c r="C23" t="s">
        <v>60</v>
      </c>
      <c r="D23">
        <v>619046</v>
      </c>
      <c r="E23" s="5">
        <v>42247.783958333333</v>
      </c>
      <c r="F23" t="s">
        <v>60</v>
      </c>
      <c r="G23" s="6">
        <v>-567</v>
      </c>
    </row>
    <row r="24" spans="1:7" x14ac:dyDescent="0.2">
      <c r="A24" t="s">
        <v>7</v>
      </c>
      <c r="B24" t="s">
        <v>61</v>
      </c>
      <c r="C24" t="s">
        <v>62</v>
      </c>
      <c r="D24">
        <v>10</v>
      </c>
      <c r="E24" s="5">
        <v>42080.382222222222</v>
      </c>
      <c r="F24" t="s">
        <v>62</v>
      </c>
      <c r="G24" s="6">
        <v>0</v>
      </c>
    </row>
    <row r="25" spans="1:7" x14ac:dyDescent="0.2">
      <c r="A25" t="s">
        <v>7</v>
      </c>
      <c r="B25" t="s">
        <v>63</v>
      </c>
      <c r="C25" t="s">
        <v>64</v>
      </c>
      <c r="D25">
        <v>3646</v>
      </c>
      <c r="E25" s="5">
        <v>42080.382222222222</v>
      </c>
      <c r="F25" t="s">
        <v>65</v>
      </c>
      <c r="G25" s="6">
        <v>0</v>
      </c>
    </row>
    <row r="26" spans="1:7" x14ac:dyDescent="0.2">
      <c r="A26" t="s">
        <v>7</v>
      </c>
      <c r="B26" t="s">
        <v>66</v>
      </c>
      <c r="C26" t="s">
        <v>38</v>
      </c>
      <c r="D26">
        <v>31100</v>
      </c>
      <c r="E26" s="5">
        <v>42140.414004629631</v>
      </c>
      <c r="F26" t="s">
        <v>38</v>
      </c>
      <c r="G26" s="6">
        <v>0</v>
      </c>
    </row>
    <row r="27" spans="1:7" x14ac:dyDescent="0.2">
      <c r="A27" t="s">
        <v>7</v>
      </c>
      <c r="B27" t="s">
        <v>67</v>
      </c>
      <c r="C27" t="s">
        <v>38</v>
      </c>
      <c r="D27">
        <v>39828</v>
      </c>
      <c r="E27" s="5">
        <v>42140.41511574074</v>
      </c>
      <c r="F27" t="s">
        <v>38</v>
      </c>
      <c r="G27" s="6">
        <v>0</v>
      </c>
    </row>
    <row r="28" spans="1:7" x14ac:dyDescent="0.2">
      <c r="A28" t="s">
        <v>7</v>
      </c>
      <c r="B28" t="s">
        <v>68</v>
      </c>
      <c r="C28" t="s">
        <v>69</v>
      </c>
      <c r="D28">
        <v>8</v>
      </c>
      <c r="E28" s="5">
        <v>42502.660034722219</v>
      </c>
      <c r="F28" t="s">
        <v>69</v>
      </c>
      <c r="G28" s="6">
        <v>0</v>
      </c>
    </row>
    <row r="29" spans="1:7" x14ac:dyDescent="0.2">
      <c r="A29" t="s">
        <v>7</v>
      </c>
      <c r="B29" t="s">
        <v>70</v>
      </c>
      <c r="C29" t="s">
        <v>71</v>
      </c>
      <c r="D29">
        <v>9</v>
      </c>
      <c r="E29" s="5">
        <v>42502.659942129627</v>
      </c>
      <c r="F29" t="s">
        <v>71</v>
      </c>
      <c r="G29" s="6">
        <v>0</v>
      </c>
    </row>
    <row r="30" spans="1:7" x14ac:dyDescent="0.2">
      <c r="A30" t="s">
        <v>7</v>
      </c>
      <c r="B30" t="s">
        <v>72</v>
      </c>
      <c r="C30" t="s">
        <v>73</v>
      </c>
      <c r="D30">
        <v>693</v>
      </c>
      <c r="E30" s="5">
        <v>42080.382222222222</v>
      </c>
      <c r="F30" t="s">
        <v>74</v>
      </c>
      <c r="G30" s="6">
        <v>0</v>
      </c>
    </row>
    <row r="31" spans="1:7" x14ac:dyDescent="0.2">
      <c r="A31" t="s">
        <v>7</v>
      </c>
      <c r="B31" t="s">
        <v>75</v>
      </c>
      <c r="C31" t="s">
        <v>76</v>
      </c>
      <c r="D31">
        <v>4042</v>
      </c>
      <c r="E31" s="5">
        <v>42080.382222222222</v>
      </c>
      <c r="F31" t="s">
        <v>77</v>
      </c>
      <c r="G31" s="6">
        <v>0</v>
      </c>
    </row>
    <row r="32" spans="1:7" x14ac:dyDescent="0.2">
      <c r="A32" t="s">
        <v>7</v>
      </c>
      <c r="B32" t="s">
        <v>78</v>
      </c>
      <c r="C32" t="s">
        <v>79</v>
      </c>
      <c r="D32">
        <v>0</v>
      </c>
      <c r="E32" s="5">
        <v>42156.141932870371</v>
      </c>
      <c r="F32" t="s">
        <v>79</v>
      </c>
      <c r="G32" s="6">
        <v>0</v>
      </c>
    </row>
    <row r="33" spans="1:7" x14ac:dyDescent="0.2">
      <c r="A33" t="s">
        <v>7</v>
      </c>
      <c r="B33" t="s">
        <v>80</v>
      </c>
      <c r="C33" t="s">
        <v>81</v>
      </c>
      <c r="D33">
        <v>6019711</v>
      </c>
      <c r="E33" s="5">
        <v>42080.382222222222</v>
      </c>
      <c r="F33" t="s">
        <v>82</v>
      </c>
      <c r="G33" s="6">
        <v>-113314</v>
      </c>
    </row>
    <row r="34" spans="1:7" x14ac:dyDescent="0.2">
      <c r="A34" t="s">
        <v>7</v>
      </c>
      <c r="B34" t="s">
        <v>83</v>
      </c>
      <c r="C34" t="s">
        <v>84</v>
      </c>
      <c r="D34">
        <v>3434997</v>
      </c>
      <c r="E34" s="5">
        <v>42080.382222222222</v>
      </c>
      <c r="F34" t="s">
        <v>85</v>
      </c>
      <c r="G34" s="6">
        <v>-28833</v>
      </c>
    </row>
    <row r="35" spans="1:7" x14ac:dyDescent="0.2">
      <c r="A35" t="s">
        <v>7</v>
      </c>
      <c r="B35" t="s">
        <v>86</v>
      </c>
      <c r="C35" t="s">
        <v>38</v>
      </c>
      <c r="D35">
        <v>41625</v>
      </c>
      <c r="E35" s="5">
        <v>42527.805983796294</v>
      </c>
      <c r="F35" t="s">
        <v>38</v>
      </c>
      <c r="G35" s="6">
        <v>0</v>
      </c>
    </row>
    <row r="36" spans="1:7" x14ac:dyDescent="0.2">
      <c r="A36" t="s">
        <v>7</v>
      </c>
      <c r="B36" t="s">
        <v>87</v>
      </c>
      <c r="C36" t="s">
        <v>38</v>
      </c>
      <c r="D36">
        <v>7900826</v>
      </c>
      <c r="E36" s="5">
        <v>42331.622152777774</v>
      </c>
      <c r="F36" t="s">
        <v>38</v>
      </c>
      <c r="G36" s="6">
        <v>-241467</v>
      </c>
    </row>
    <row r="37" spans="1:7" x14ac:dyDescent="0.2">
      <c r="A37" t="s">
        <v>7</v>
      </c>
      <c r="B37" t="s">
        <v>88</v>
      </c>
      <c r="C37" t="s">
        <v>38</v>
      </c>
      <c r="D37">
        <v>32817272</v>
      </c>
      <c r="E37" s="5">
        <v>42499.665729166663</v>
      </c>
      <c r="F37" t="s">
        <v>38</v>
      </c>
      <c r="G37" s="6">
        <v>0</v>
      </c>
    </row>
    <row r="38" spans="1:7" x14ac:dyDescent="0.2">
      <c r="A38" t="s">
        <v>7</v>
      </c>
      <c r="B38" t="s">
        <v>89</v>
      </c>
      <c r="C38" t="s">
        <v>38</v>
      </c>
      <c r="D38">
        <v>7340813</v>
      </c>
      <c r="E38" s="5">
        <v>42166.407581018517</v>
      </c>
      <c r="F38" t="s">
        <v>38</v>
      </c>
      <c r="G38" s="6">
        <v>-214264</v>
      </c>
    </row>
    <row r="39" spans="1:7" x14ac:dyDescent="0.2">
      <c r="A39" t="s">
        <v>7</v>
      </c>
      <c r="B39" t="s">
        <v>90</v>
      </c>
      <c r="C39" t="s">
        <v>38</v>
      </c>
      <c r="D39">
        <v>27192697</v>
      </c>
      <c r="E39" s="5">
        <v>42499.685729166667</v>
      </c>
      <c r="F39" t="s">
        <v>38</v>
      </c>
      <c r="G39" s="6">
        <v>0</v>
      </c>
    </row>
    <row r="40" spans="1:7" x14ac:dyDescent="0.2">
      <c r="A40" t="s">
        <v>7</v>
      </c>
      <c r="B40" t="s">
        <v>91</v>
      </c>
      <c r="C40" t="s">
        <v>92</v>
      </c>
      <c r="D40">
        <v>118</v>
      </c>
      <c r="E40" s="5">
        <v>42166.407685185186</v>
      </c>
      <c r="F40" t="s">
        <v>92</v>
      </c>
      <c r="G40" s="6">
        <v>0</v>
      </c>
    </row>
    <row r="41" spans="1:7" x14ac:dyDescent="0.2">
      <c r="A41" t="s">
        <v>7</v>
      </c>
      <c r="B41" t="s">
        <v>93</v>
      </c>
      <c r="C41" t="s">
        <v>94</v>
      </c>
      <c r="D41">
        <v>409479</v>
      </c>
      <c r="E41" s="5">
        <v>42156.142083333332</v>
      </c>
      <c r="F41" t="s">
        <v>94</v>
      </c>
      <c r="G41" s="6">
        <v>-1326</v>
      </c>
    </row>
    <row r="42" spans="1:7" x14ac:dyDescent="0.2">
      <c r="A42" t="s">
        <v>7</v>
      </c>
      <c r="B42" t="s">
        <v>95</v>
      </c>
      <c r="C42" t="s">
        <v>38</v>
      </c>
      <c r="D42">
        <v>274209</v>
      </c>
      <c r="E42" s="5">
        <v>42192.655069444445</v>
      </c>
      <c r="F42" t="s">
        <v>38</v>
      </c>
      <c r="G42" s="6">
        <v>-965</v>
      </c>
    </row>
    <row r="43" spans="1:7" x14ac:dyDescent="0.2">
      <c r="A43" t="s">
        <v>7</v>
      </c>
      <c r="B43" t="s">
        <v>96</v>
      </c>
      <c r="C43" t="s">
        <v>97</v>
      </c>
      <c r="D43">
        <v>0</v>
      </c>
      <c r="E43" s="5">
        <v>42156.142083333332</v>
      </c>
      <c r="F43" t="s">
        <v>97</v>
      </c>
      <c r="G43" s="6">
        <v>0</v>
      </c>
    </row>
    <row r="44" spans="1:7" x14ac:dyDescent="0.2">
      <c r="A44" t="s">
        <v>7</v>
      </c>
      <c r="B44" t="s">
        <v>98</v>
      </c>
      <c r="C44" t="s">
        <v>99</v>
      </c>
      <c r="D44">
        <v>66160</v>
      </c>
      <c r="E44" s="5">
        <v>42395.775902777779</v>
      </c>
      <c r="F44" t="s">
        <v>99</v>
      </c>
      <c r="G44" s="6">
        <v>0</v>
      </c>
    </row>
    <row r="45" spans="1:7" x14ac:dyDescent="0.2">
      <c r="A45" t="s">
        <v>7</v>
      </c>
      <c r="B45" t="s">
        <v>100</v>
      </c>
      <c r="C45" t="s">
        <v>101</v>
      </c>
      <c r="D45">
        <v>968142</v>
      </c>
      <c r="E45" s="5">
        <v>42395.776122685187</v>
      </c>
      <c r="F45" t="s">
        <v>101</v>
      </c>
      <c r="G45" s="6">
        <v>0</v>
      </c>
    </row>
    <row r="46" spans="1:7" x14ac:dyDescent="0.2">
      <c r="A46" t="s">
        <v>7</v>
      </c>
      <c r="B46" t="s">
        <v>102</v>
      </c>
      <c r="C46" t="s">
        <v>103</v>
      </c>
      <c r="D46">
        <v>37037</v>
      </c>
      <c r="E46" s="5">
        <v>42395.776192129626</v>
      </c>
      <c r="F46" t="s">
        <v>103</v>
      </c>
      <c r="G46" s="6">
        <v>0</v>
      </c>
    </row>
    <row r="47" spans="1:7" x14ac:dyDescent="0.2">
      <c r="A47" t="s">
        <v>7</v>
      </c>
      <c r="B47" t="s">
        <v>104</v>
      </c>
      <c r="C47" t="s">
        <v>105</v>
      </c>
      <c r="D47">
        <v>3670</v>
      </c>
      <c r="E47" s="5">
        <v>42097.770601851851</v>
      </c>
      <c r="F47" t="s">
        <v>106</v>
      </c>
      <c r="G47" s="6">
        <v>0</v>
      </c>
    </row>
    <row r="48" spans="1:7" x14ac:dyDescent="0.2">
      <c r="A48" t="s">
        <v>7</v>
      </c>
      <c r="B48" t="s">
        <v>107</v>
      </c>
      <c r="C48" t="s">
        <v>108</v>
      </c>
      <c r="D48">
        <v>3639</v>
      </c>
      <c r="E48" s="5">
        <v>42097.770694444444</v>
      </c>
      <c r="F48" t="s">
        <v>109</v>
      </c>
      <c r="G48" s="6">
        <v>0</v>
      </c>
    </row>
    <row r="49" spans="1:7" x14ac:dyDescent="0.2">
      <c r="A49" t="s">
        <v>7</v>
      </c>
      <c r="B49" t="s">
        <v>110</v>
      </c>
      <c r="C49" t="s">
        <v>111</v>
      </c>
      <c r="D49">
        <v>152</v>
      </c>
      <c r="E49" s="5">
        <v>42156.142094907409</v>
      </c>
      <c r="F49" t="s">
        <v>111</v>
      </c>
      <c r="G49" s="6">
        <v>0</v>
      </c>
    </row>
    <row r="50" spans="1:7" x14ac:dyDescent="0.2">
      <c r="A50" t="s">
        <v>7</v>
      </c>
      <c r="B50" t="s">
        <v>112</v>
      </c>
      <c r="C50" t="s">
        <v>113</v>
      </c>
      <c r="D50">
        <v>151945</v>
      </c>
      <c r="E50" s="5">
        <v>42523.412766203706</v>
      </c>
      <c r="F50" t="s">
        <v>113</v>
      </c>
      <c r="G50" s="6">
        <v>0</v>
      </c>
    </row>
    <row r="51" spans="1:7" x14ac:dyDescent="0.2">
      <c r="A51" t="s">
        <v>7</v>
      </c>
      <c r="B51" t="s">
        <v>114</v>
      </c>
      <c r="C51" t="s">
        <v>115</v>
      </c>
      <c r="D51">
        <v>553898</v>
      </c>
      <c r="E51" s="5">
        <v>42523.412881944445</v>
      </c>
      <c r="F51" t="s">
        <v>115</v>
      </c>
      <c r="G51" s="6">
        <v>-15437</v>
      </c>
    </row>
    <row r="52" spans="1:7" x14ac:dyDescent="0.2">
      <c r="A52" t="s">
        <v>7</v>
      </c>
      <c r="B52" t="s">
        <v>116</v>
      </c>
      <c r="C52" t="s">
        <v>117</v>
      </c>
      <c r="D52">
        <v>97935</v>
      </c>
      <c r="E52" s="5">
        <v>42080.382222222222</v>
      </c>
      <c r="F52" t="s">
        <v>118</v>
      </c>
      <c r="G52" s="6">
        <v>0</v>
      </c>
    </row>
    <row r="53" spans="1:7" x14ac:dyDescent="0.2">
      <c r="A53" t="s">
        <v>7</v>
      </c>
      <c r="B53" t="s">
        <v>119</v>
      </c>
      <c r="C53" t="s">
        <v>120</v>
      </c>
      <c r="D53">
        <v>6</v>
      </c>
      <c r="E53" s="5">
        <v>42502.660150462965</v>
      </c>
      <c r="F53" t="s">
        <v>120</v>
      </c>
      <c r="G53" s="6">
        <v>0</v>
      </c>
    </row>
    <row r="54" spans="1:7" x14ac:dyDescent="0.2">
      <c r="A54" t="s">
        <v>7</v>
      </c>
      <c r="B54" t="s">
        <v>121</v>
      </c>
      <c r="C54" t="s">
        <v>122</v>
      </c>
      <c r="D54">
        <v>329</v>
      </c>
      <c r="E54" s="5">
        <v>42156.142118055555</v>
      </c>
      <c r="F54" t="s">
        <v>122</v>
      </c>
      <c r="G54" s="6">
        <v>3</v>
      </c>
    </row>
    <row r="55" spans="1:7" x14ac:dyDescent="0.2">
      <c r="A55" t="s">
        <v>7</v>
      </c>
      <c r="B55" t="s">
        <v>123</v>
      </c>
      <c r="C55" t="s">
        <v>124</v>
      </c>
      <c r="D55">
        <v>14</v>
      </c>
      <c r="E55" s="5">
        <v>42156.142118055555</v>
      </c>
      <c r="F55" t="s">
        <v>124</v>
      </c>
      <c r="G55" s="6">
        <v>0</v>
      </c>
    </row>
    <row r="56" spans="1:7" x14ac:dyDescent="0.2">
      <c r="A56" t="s">
        <v>7</v>
      </c>
      <c r="B56" t="s">
        <v>125</v>
      </c>
      <c r="C56" t="s">
        <v>126</v>
      </c>
      <c r="D56">
        <v>8904</v>
      </c>
      <c r="E56" s="5">
        <v>42156.142118055555</v>
      </c>
      <c r="F56" t="s">
        <v>126</v>
      </c>
      <c r="G56" s="6">
        <v>-23</v>
      </c>
    </row>
    <row r="57" spans="1:7" x14ac:dyDescent="0.2">
      <c r="A57" t="s">
        <v>7</v>
      </c>
      <c r="B57" t="s">
        <v>127</v>
      </c>
      <c r="C57" t="s">
        <v>128</v>
      </c>
      <c r="D57">
        <v>242</v>
      </c>
      <c r="E57" s="5">
        <v>42156.142118055555</v>
      </c>
      <c r="F57" t="s">
        <v>128</v>
      </c>
      <c r="G57" s="6">
        <v>0</v>
      </c>
    </row>
    <row r="58" spans="1:7" x14ac:dyDescent="0.2">
      <c r="A58" t="s">
        <v>7</v>
      </c>
      <c r="B58" t="s">
        <v>129</v>
      </c>
      <c r="C58" t="s">
        <v>130</v>
      </c>
      <c r="D58">
        <v>5879</v>
      </c>
      <c r="E58" s="5">
        <v>42342.680451388886</v>
      </c>
      <c r="F58" t="s">
        <v>130</v>
      </c>
      <c r="G58" s="6">
        <v>-112</v>
      </c>
    </row>
    <row r="59" spans="1:7" x14ac:dyDescent="0.2">
      <c r="A59" t="s">
        <v>7</v>
      </c>
      <c r="B59" t="s">
        <v>131</v>
      </c>
      <c r="C59" t="s">
        <v>132</v>
      </c>
      <c r="D59">
        <v>2</v>
      </c>
      <c r="E59" s="5">
        <v>42156.142118055555</v>
      </c>
      <c r="F59" t="s">
        <v>132</v>
      </c>
      <c r="G59" s="6">
        <v>0</v>
      </c>
    </row>
    <row r="60" spans="1:7" x14ac:dyDescent="0.2">
      <c r="A60" t="s">
        <v>7</v>
      </c>
      <c r="B60" t="s">
        <v>133</v>
      </c>
      <c r="C60" t="s">
        <v>134</v>
      </c>
      <c r="D60">
        <v>1</v>
      </c>
      <c r="E60" s="5">
        <v>42156.142118055555</v>
      </c>
      <c r="F60" t="s">
        <v>134</v>
      </c>
      <c r="G60" s="6">
        <v>0</v>
      </c>
    </row>
    <row r="61" spans="1:7" x14ac:dyDescent="0.2">
      <c r="A61" t="s">
        <v>7</v>
      </c>
      <c r="B61" t="s">
        <v>135</v>
      </c>
      <c r="C61" t="s">
        <v>136</v>
      </c>
      <c r="D61">
        <v>2797</v>
      </c>
      <c r="E61" s="5">
        <v>42156.142129629632</v>
      </c>
      <c r="F61" t="s">
        <v>136</v>
      </c>
      <c r="G61" s="6">
        <v>0</v>
      </c>
    </row>
    <row r="62" spans="1:7" x14ac:dyDescent="0.2">
      <c r="A62" t="s">
        <v>7</v>
      </c>
      <c r="B62" t="s">
        <v>137</v>
      </c>
      <c r="C62" t="s">
        <v>138</v>
      </c>
      <c r="D62">
        <v>54</v>
      </c>
      <c r="E62" s="5">
        <v>42185.768634259257</v>
      </c>
      <c r="F62" t="s">
        <v>138</v>
      </c>
      <c r="G62" s="6">
        <v>0</v>
      </c>
    </row>
    <row r="63" spans="1:7" x14ac:dyDescent="0.2">
      <c r="A63" t="s">
        <v>7</v>
      </c>
      <c r="B63" t="s">
        <v>139</v>
      </c>
      <c r="C63" t="s">
        <v>140</v>
      </c>
      <c r="D63">
        <v>4936</v>
      </c>
      <c r="E63" s="5">
        <v>42156.142129629632</v>
      </c>
      <c r="F63" t="s">
        <v>140</v>
      </c>
      <c r="G63" s="6">
        <v>0</v>
      </c>
    </row>
    <row r="64" spans="1:7" x14ac:dyDescent="0.2">
      <c r="A64" t="s">
        <v>7</v>
      </c>
      <c r="B64" t="s">
        <v>141</v>
      </c>
      <c r="C64" t="s">
        <v>142</v>
      </c>
      <c r="D64">
        <v>7</v>
      </c>
      <c r="E64" s="5">
        <v>42156.142129629632</v>
      </c>
      <c r="F64" t="s">
        <v>142</v>
      </c>
      <c r="G64" s="6">
        <v>0</v>
      </c>
    </row>
    <row r="65" spans="1:7" x14ac:dyDescent="0.2">
      <c r="A65" t="s">
        <v>7</v>
      </c>
      <c r="B65" t="s">
        <v>143</v>
      </c>
      <c r="C65" t="s">
        <v>144</v>
      </c>
      <c r="D65">
        <v>4859</v>
      </c>
      <c r="E65" s="5">
        <v>42156.142129629632</v>
      </c>
      <c r="F65" t="s">
        <v>144</v>
      </c>
      <c r="G65" s="6">
        <v>0</v>
      </c>
    </row>
    <row r="66" spans="1:7" x14ac:dyDescent="0.2">
      <c r="A66" t="s">
        <v>7</v>
      </c>
      <c r="B66" t="s">
        <v>145</v>
      </c>
      <c r="C66" t="s">
        <v>146</v>
      </c>
      <c r="D66">
        <v>1842</v>
      </c>
      <c r="E66" s="5">
        <v>42080.382233796299</v>
      </c>
      <c r="F66" t="s">
        <v>147</v>
      </c>
      <c r="G66" s="6">
        <v>-15</v>
      </c>
    </row>
    <row r="67" spans="1:7" x14ac:dyDescent="0.2">
      <c r="A67" t="s">
        <v>7</v>
      </c>
      <c r="B67" t="s">
        <v>148</v>
      </c>
      <c r="C67" t="s">
        <v>149</v>
      </c>
      <c r="D67">
        <v>312257</v>
      </c>
      <c r="E67" s="5">
        <v>42080.382233796299</v>
      </c>
      <c r="F67" t="s">
        <v>150</v>
      </c>
      <c r="G67" s="6">
        <v>-2606</v>
      </c>
    </row>
    <row r="68" spans="1:7" x14ac:dyDescent="0.2">
      <c r="A68" t="s">
        <v>7</v>
      </c>
      <c r="B68" t="s">
        <v>151</v>
      </c>
      <c r="C68" t="s">
        <v>152</v>
      </c>
      <c r="D68">
        <v>179</v>
      </c>
      <c r="E68" s="5">
        <v>42156.142187500001</v>
      </c>
      <c r="F68" t="s">
        <v>152</v>
      </c>
      <c r="G68" s="6">
        <v>0</v>
      </c>
    </row>
    <row r="69" spans="1:7" x14ac:dyDescent="0.2">
      <c r="A69" t="s">
        <v>7</v>
      </c>
      <c r="B69" t="s">
        <v>153</v>
      </c>
      <c r="C69" t="s">
        <v>154</v>
      </c>
      <c r="D69">
        <v>3450</v>
      </c>
      <c r="E69" s="5">
        <v>42080.382233796299</v>
      </c>
      <c r="F69" t="s">
        <v>154</v>
      </c>
      <c r="G69" s="6">
        <v>-14</v>
      </c>
    </row>
    <row r="70" spans="1:7" x14ac:dyDescent="0.2">
      <c r="A70" t="s">
        <v>7</v>
      </c>
      <c r="B70" t="s">
        <v>155</v>
      </c>
      <c r="C70" t="s">
        <v>156</v>
      </c>
      <c r="D70">
        <v>40</v>
      </c>
      <c r="E70" s="5">
        <v>42080.382233796299</v>
      </c>
      <c r="F70" t="s">
        <v>157</v>
      </c>
      <c r="G70" s="6">
        <v>0</v>
      </c>
    </row>
    <row r="71" spans="1:7" x14ac:dyDescent="0.2">
      <c r="A71" t="s">
        <v>7</v>
      </c>
      <c r="B71" t="s">
        <v>158</v>
      </c>
      <c r="C71" t="s">
        <v>159</v>
      </c>
      <c r="D71">
        <v>17</v>
      </c>
      <c r="E71" s="5">
        <v>42080.382233796299</v>
      </c>
      <c r="F71" t="s">
        <v>159</v>
      </c>
      <c r="G71" s="6">
        <v>0</v>
      </c>
    </row>
    <row r="72" spans="1:7" x14ac:dyDescent="0.2">
      <c r="A72" t="s">
        <v>7</v>
      </c>
      <c r="B72" t="s">
        <v>160</v>
      </c>
      <c r="C72" t="s">
        <v>161</v>
      </c>
      <c r="D72">
        <v>20</v>
      </c>
      <c r="E72" s="5">
        <v>42080.382245370369</v>
      </c>
      <c r="F72" t="s">
        <v>162</v>
      </c>
      <c r="G72" s="6">
        <v>0</v>
      </c>
    </row>
    <row r="73" spans="1:7" x14ac:dyDescent="0.2">
      <c r="A73" t="s">
        <v>7</v>
      </c>
      <c r="B73" t="s">
        <v>163</v>
      </c>
      <c r="C73" t="s">
        <v>164</v>
      </c>
      <c r="D73">
        <v>100</v>
      </c>
      <c r="E73" s="5">
        <v>42080.382245370369</v>
      </c>
      <c r="F73" t="s">
        <v>164</v>
      </c>
      <c r="G73" s="6">
        <v>1</v>
      </c>
    </row>
    <row r="74" spans="1:7" x14ac:dyDescent="0.2">
      <c r="A74" t="s">
        <v>7</v>
      </c>
      <c r="B74" t="s">
        <v>165</v>
      </c>
      <c r="C74" t="s">
        <v>166</v>
      </c>
      <c r="D74">
        <v>230</v>
      </c>
      <c r="E74" s="5">
        <v>42080.382245370369</v>
      </c>
      <c r="F74" t="s">
        <v>166</v>
      </c>
      <c r="G74" s="6">
        <v>1</v>
      </c>
    </row>
    <row r="75" spans="1:7" x14ac:dyDescent="0.2">
      <c r="A75" t="s">
        <v>7</v>
      </c>
      <c r="B75" t="s">
        <v>167</v>
      </c>
      <c r="C75" t="s">
        <v>168</v>
      </c>
      <c r="D75">
        <v>2434513</v>
      </c>
      <c r="E75" s="5">
        <v>42080.382245370369</v>
      </c>
      <c r="F75" t="s">
        <v>168</v>
      </c>
      <c r="G75" s="6">
        <v>-38261</v>
      </c>
    </row>
    <row r="76" spans="1:7" x14ac:dyDescent="0.2">
      <c r="A76" t="s">
        <v>7</v>
      </c>
      <c r="B76" t="s">
        <v>169</v>
      </c>
      <c r="C76" t="s">
        <v>170</v>
      </c>
      <c r="D76">
        <v>6</v>
      </c>
      <c r="E76" s="5">
        <v>42156.142384259256</v>
      </c>
      <c r="F76" t="s">
        <v>170</v>
      </c>
      <c r="G76" s="6">
        <v>0</v>
      </c>
    </row>
    <row r="77" spans="1:7" x14ac:dyDescent="0.2">
      <c r="A77" t="s">
        <v>7</v>
      </c>
      <c r="B77" t="s">
        <v>171</v>
      </c>
      <c r="C77" t="s">
        <v>172</v>
      </c>
      <c r="D77">
        <v>220</v>
      </c>
      <c r="E77" s="5">
        <v>42156.142384259256</v>
      </c>
      <c r="F77" t="s">
        <v>172</v>
      </c>
      <c r="G77" s="6">
        <v>0</v>
      </c>
    </row>
    <row r="78" spans="1:7" x14ac:dyDescent="0.2">
      <c r="A78" t="s">
        <v>7</v>
      </c>
      <c r="B78" t="s">
        <v>173</v>
      </c>
      <c r="C78" t="s">
        <v>174</v>
      </c>
      <c r="D78">
        <v>158</v>
      </c>
      <c r="E78" s="5">
        <v>42080.382245370369</v>
      </c>
      <c r="F78" t="s">
        <v>174</v>
      </c>
      <c r="G78" s="6">
        <v>-2</v>
      </c>
    </row>
    <row r="79" spans="1:7" x14ac:dyDescent="0.2">
      <c r="A79" t="s">
        <v>7</v>
      </c>
      <c r="B79" t="s">
        <v>175</v>
      </c>
      <c r="C79" t="s">
        <v>176</v>
      </c>
      <c r="D79">
        <v>15636252</v>
      </c>
      <c r="E79" s="5">
        <v>42080.382245370369</v>
      </c>
      <c r="F79" t="s">
        <v>177</v>
      </c>
      <c r="G79" s="6">
        <v>-259049</v>
      </c>
    </row>
    <row r="80" spans="1:7" x14ac:dyDescent="0.2">
      <c r="A80" t="s">
        <v>7</v>
      </c>
      <c r="B80" t="s">
        <v>178</v>
      </c>
      <c r="C80" t="s">
        <v>179</v>
      </c>
      <c r="D80">
        <v>6799</v>
      </c>
      <c r="E80" s="5">
        <v>42482.004201388889</v>
      </c>
      <c r="F80" t="s">
        <v>179</v>
      </c>
      <c r="G80" s="6">
        <v>0</v>
      </c>
    </row>
    <row r="81" spans="1:7" x14ac:dyDescent="0.2">
      <c r="A81" t="s">
        <v>7</v>
      </c>
      <c r="B81" t="s">
        <v>180</v>
      </c>
      <c r="C81" t="s">
        <v>181</v>
      </c>
      <c r="D81">
        <v>3004</v>
      </c>
      <c r="E81" s="5">
        <v>42482.004872685182</v>
      </c>
      <c r="F81" t="s">
        <v>181</v>
      </c>
      <c r="G81" s="6">
        <v>-4</v>
      </c>
    </row>
    <row r="82" spans="1:7" x14ac:dyDescent="0.2">
      <c r="A82" t="s">
        <v>7</v>
      </c>
      <c r="B82" t="s">
        <v>182</v>
      </c>
      <c r="C82" t="s">
        <v>38</v>
      </c>
      <c r="D82">
        <v>34</v>
      </c>
      <c r="E82" s="5">
        <v>42191.590868055559</v>
      </c>
      <c r="F82" t="s">
        <v>38</v>
      </c>
      <c r="G82" s="6">
        <v>0</v>
      </c>
    </row>
    <row r="83" spans="1:7" x14ac:dyDescent="0.2">
      <c r="A83" t="s">
        <v>7</v>
      </c>
      <c r="B83" t="s">
        <v>183</v>
      </c>
      <c r="C83" t="s">
        <v>38</v>
      </c>
      <c r="D83">
        <v>378</v>
      </c>
      <c r="E83" s="5">
        <v>42191.583460648151</v>
      </c>
      <c r="F83" t="s">
        <v>38</v>
      </c>
      <c r="G83" s="6">
        <v>0</v>
      </c>
    </row>
    <row r="84" spans="1:7" x14ac:dyDescent="0.2">
      <c r="A84" t="s">
        <v>7</v>
      </c>
      <c r="B84" t="s">
        <v>184</v>
      </c>
      <c r="C84" t="s">
        <v>185</v>
      </c>
      <c r="D84">
        <v>0</v>
      </c>
      <c r="E84" s="5">
        <v>42303.489606481482</v>
      </c>
      <c r="F84" t="s">
        <v>185</v>
      </c>
      <c r="G84" s="6">
        <v>0</v>
      </c>
    </row>
    <row r="85" spans="1:7" x14ac:dyDescent="0.2">
      <c r="A85" t="s">
        <v>7</v>
      </c>
      <c r="B85" t="s">
        <v>186</v>
      </c>
      <c r="C85" t="s">
        <v>187</v>
      </c>
      <c r="D85">
        <v>105</v>
      </c>
      <c r="E85" s="5">
        <v>42303.623101851852</v>
      </c>
      <c r="F85" t="s">
        <v>187</v>
      </c>
      <c r="G85" s="6">
        <v>-6</v>
      </c>
    </row>
    <row r="86" spans="1:7" x14ac:dyDescent="0.2">
      <c r="A86" t="s">
        <v>7</v>
      </c>
      <c r="B86" t="s">
        <v>188</v>
      </c>
      <c r="C86" t="s">
        <v>189</v>
      </c>
      <c r="D86">
        <v>1812</v>
      </c>
      <c r="E86" s="5">
        <v>42080.382245370369</v>
      </c>
      <c r="F86" t="s">
        <v>189</v>
      </c>
      <c r="G86" s="6">
        <v>0</v>
      </c>
    </row>
    <row r="87" spans="1:7" x14ac:dyDescent="0.2">
      <c r="A87" t="s">
        <v>7</v>
      </c>
      <c r="B87" t="s">
        <v>190</v>
      </c>
      <c r="C87" t="s">
        <v>191</v>
      </c>
      <c r="D87">
        <v>1675603</v>
      </c>
      <c r="E87" s="5">
        <v>42080.684537037036</v>
      </c>
      <c r="F87" t="s">
        <v>192</v>
      </c>
      <c r="G87" s="6">
        <v>-18255</v>
      </c>
    </row>
    <row r="88" spans="1:7" x14ac:dyDescent="0.2">
      <c r="A88" t="s">
        <v>7</v>
      </c>
      <c r="B88" t="s">
        <v>193</v>
      </c>
      <c r="C88" t="s">
        <v>194</v>
      </c>
      <c r="D88">
        <v>0</v>
      </c>
      <c r="E88" s="5">
        <v>42303.489907407406</v>
      </c>
      <c r="F88" t="s">
        <v>194</v>
      </c>
      <c r="G88" s="6">
        <v>0</v>
      </c>
    </row>
    <row r="89" spans="1:7" x14ac:dyDescent="0.2">
      <c r="A89" t="s">
        <v>7</v>
      </c>
      <c r="B89" t="s">
        <v>195</v>
      </c>
      <c r="C89" t="s">
        <v>196</v>
      </c>
      <c r="D89">
        <v>2790</v>
      </c>
      <c r="E89" s="5">
        <v>42080.382245370369</v>
      </c>
      <c r="F89" t="s">
        <v>196</v>
      </c>
      <c r="G89" s="6">
        <v>0</v>
      </c>
    </row>
    <row r="90" spans="1:7" x14ac:dyDescent="0.2">
      <c r="A90" t="s">
        <v>7</v>
      </c>
      <c r="B90" t="s">
        <v>197</v>
      </c>
      <c r="C90" t="s">
        <v>198</v>
      </c>
      <c r="D90">
        <v>1597</v>
      </c>
      <c r="E90" s="5">
        <v>42080.382256944446</v>
      </c>
      <c r="F90" t="s">
        <v>199</v>
      </c>
      <c r="G90" s="6">
        <v>-21</v>
      </c>
    </row>
    <row r="91" spans="1:7" x14ac:dyDescent="0.2">
      <c r="A91" t="s">
        <v>7</v>
      </c>
      <c r="B91" t="s">
        <v>200</v>
      </c>
      <c r="C91" t="s">
        <v>201</v>
      </c>
      <c r="D91">
        <v>42</v>
      </c>
      <c r="E91" s="5">
        <v>42080.382256944446</v>
      </c>
      <c r="F91" t="s">
        <v>201</v>
      </c>
      <c r="G91" s="6">
        <v>0</v>
      </c>
    </row>
    <row r="92" spans="1:7" x14ac:dyDescent="0.2">
      <c r="A92" t="s">
        <v>7</v>
      </c>
      <c r="B92" t="s">
        <v>202</v>
      </c>
      <c r="C92" t="s">
        <v>203</v>
      </c>
      <c r="D92">
        <v>2076156</v>
      </c>
      <c r="E92" s="5">
        <v>42187.777129629627</v>
      </c>
      <c r="F92" t="s">
        <v>203</v>
      </c>
      <c r="G92" s="6">
        <v>-31444</v>
      </c>
    </row>
    <row r="93" spans="1:7" x14ac:dyDescent="0.2">
      <c r="A93" t="s">
        <v>7</v>
      </c>
      <c r="B93" t="s">
        <v>204</v>
      </c>
      <c r="C93" t="s">
        <v>205</v>
      </c>
      <c r="D93">
        <v>155254</v>
      </c>
      <c r="E93" s="5">
        <v>42156.143159722225</v>
      </c>
      <c r="F93" t="s">
        <v>205</v>
      </c>
      <c r="G93" s="6">
        <v>0</v>
      </c>
    </row>
    <row r="94" spans="1:7" x14ac:dyDescent="0.2">
      <c r="A94" t="s">
        <v>7</v>
      </c>
      <c r="B94" t="s">
        <v>206</v>
      </c>
      <c r="C94" t="s">
        <v>207</v>
      </c>
      <c r="D94">
        <v>713066</v>
      </c>
      <c r="E94" s="5">
        <v>42156.143217592595</v>
      </c>
      <c r="F94" t="s">
        <v>207</v>
      </c>
      <c r="G94" s="6">
        <v>-36947</v>
      </c>
    </row>
    <row r="95" spans="1:7" x14ac:dyDescent="0.2">
      <c r="A95" t="s">
        <v>7</v>
      </c>
      <c r="B95" t="s">
        <v>208</v>
      </c>
      <c r="C95" t="s">
        <v>209</v>
      </c>
      <c r="D95">
        <v>5524722</v>
      </c>
      <c r="E95" s="5">
        <v>42080.382256944446</v>
      </c>
      <c r="F95" t="s">
        <v>210</v>
      </c>
      <c r="G95" s="6">
        <v>-111081</v>
      </c>
    </row>
    <row r="96" spans="1:7" x14ac:dyDescent="0.2">
      <c r="A96" t="s">
        <v>7</v>
      </c>
      <c r="B96" t="s">
        <v>211</v>
      </c>
      <c r="C96" t="s">
        <v>38</v>
      </c>
      <c r="D96">
        <v>18677820</v>
      </c>
      <c r="E96" s="5">
        <v>42609.928877314815</v>
      </c>
      <c r="F96" t="s">
        <v>38</v>
      </c>
      <c r="G96" s="6">
        <v>-471693</v>
      </c>
    </row>
    <row r="97" spans="1:7" x14ac:dyDescent="0.2">
      <c r="A97" t="s">
        <v>7</v>
      </c>
      <c r="B97" t="s">
        <v>212</v>
      </c>
      <c r="C97" t="s">
        <v>213</v>
      </c>
      <c r="D97">
        <v>93536</v>
      </c>
      <c r="E97" s="5">
        <v>42156.143506944441</v>
      </c>
      <c r="F97" t="s">
        <v>213</v>
      </c>
      <c r="G97" s="6">
        <v>0</v>
      </c>
    </row>
    <row r="98" spans="1:7" x14ac:dyDescent="0.2">
      <c r="A98" t="s">
        <v>7</v>
      </c>
      <c r="B98" t="s">
        <v>214</v>
      </c>
      <c r="C98" t="s">
        <v>215</v>
      </c>
      <c r="D98">
        <v>2144</v>
      </c>
      <c r="E98" s="5">
        <v>42156.143541666665</v>
      </c>
      <c r="F98" t="s">
        <v>215</v>
      </c>
      <c r="G98" s="6">
        <v>0</v>
      </c>
    </row>
    <row r="99" spans="1:7" x14ac:dyDescent="0.2">
      <c r="A99" t="s">
        <v>7</v>
      </c>
      <c r="B99" t="s">
        <v>216</v>
      </c>
      <c r="C99" t="s">
        <v>217</v>
      </c>
      <c r="D99">
        <v>54104</v>
      </c>
      <c r="E99" s="5">
        <v>42156.143541666665</v>
      </c>
      <c r="F99" t="s">
        <v>217</v>
      </c>
      <c r="G99" s="6">
        <v>-2</v>
      </c>
    </row>
    <row r="100" spans="1:7" x14ac:dyDescent="0.2">
      <c r="A100" t="s">
        <v>7</v>
      </c>
      <c r="B100" t="s">
        <v>218</v>
      </c>
      <c r="C100" t="s">
        <v>219</v>
      </c>
      <c r="D100">
        <v>0</v>
      </c>
      <c r="E100" s="5">
        <v>42593.65896990741</v>
      </c>
      <c r="F100" t="s">
        <v>219</v>
      </c>
      <c r="G100" s="6">
        <v>0</v>
      </c>
    </row>
    <row r="101" spans="1:7" x14ac:dyDescent="0.2">
      <c r="A101" t="s">
        <v>7</v>
      </c>
      <c r="B101" t="s">
        <v>220</v>
      </c>
      <c r="C101" t="s">
        <v>38</v>
      </c>
      <c r="D101">
        <v>25</v>
      </c>
      <c r="E101" s="5">
        <v>42326.969444444447</v>
      </c>
      <c r="F101" t="s">
        <v>38</v>
      </c>
      <c r="G101" s="6">
        <v>0</v>
      </c>
    </row>
    <row r="102" spans="1:7" x14ac:dyDescent="0.2">
      <c r="A102" t="s">
        <v>7</v>
      </c>
      <c r="B102" t="s">
        <v>221</v>
      </c>
      <c r="C102" t="s">
        <v>222</v>
      </c>
      <c r="D102">
        <v>2191</v>
      </c>
      <c r="E102" s="5">
        <v>42080.382256944446</v>
      </c>
      <c r="F102" t="s">
        <v>222</v>
      </c>
      <c r="G102" s="6">
        <v>0</v>
      </c>
    </row>
    <row r="103" spans="1:7" x14ac:dyDescent="0.2">
      <c r="A103" t="s">
        <v>7</v>
      </c>
      <c r="B103" t="s">
        <v>223</v>
      </c>
      <c r="C103" t="s">
        <v>38</v>
      </c>
      <c r="D103">
        <v>55</v>
      </c>
      <c r="E103" s="5">
        <v>42160.586759259262</v>
      </c>
      <c r="F103" t="s">
        <v>38</v>
      </c>
      <c r="G103" s="6">
        <v>0</v>
      </c>
    </row>
    <row r="104" spans="1:7" x14ac:dyDescent="0.2">
      <c r="A104" t="s">
        <v>7</v>
      </c>
      <c r="B104" t="s">
        <v>224</v>
      </c>
      <c r="C104" t="s">
        <v>225</v>
      </c>
      <c r="D104">
        <v>43737</v>
      </c>
      <c r="E104" s="5">
        <v>42169.412997685184</v>
      </c>
      <c r="F104" t="s">
        <v>225</v>
      </c>
      <c r="G104" s="6">
        <v>0</v>
      </c>
    </row>
    <row r="105" spans="1:7" x14ac:dyDescent="0.2">
      <c r="A105" t="s">
        <v>7</v>
      </c>
      <c r="B105" t="s">
        <v>226</v>
      </c>
      <c r="C105" t="s">
        <v>227</v>
      </c>
      <c r="D105">
        <v>183312</v>
      </c>
      <c r="E105" s="5">
        <v>42080.382268518515</v>
      </c>
      <c r="F105" t="s">
        <v>227</v>
      </c>
      <c r="G105" s="6">
        <v>0</v>
      </c>
    </row>
    <row r="106" spans="1:7" x14ac:dyDescent="0.2">
      <c r="A106" t="s">
        <v>7</v>
      </c>
      <c r="B106" t="s">
        <v>228</v>
      </c>
      <c r="C106" t="s">
        <v>229</v>
      </c>
      <c r="D106">
        <v>7408</v>
      </c>
      <c r="E106" s="5">
        <v>42169.41300925926</v>
      </c>
      <c r="F106" t="s">
        <v>229</v>
      </c>
      <c r="G106" s="6">
        <v>-16</v>
      </c>
    </row>
    <row r="107" spans="1:7" x14ac:dyDescent="0.2">
      <c r="A107" t="s">
        <v>7</v>
      </c>
      <c r="B107" t="s">
        <v>230</v>
      </c>
      <c r="C107" t="s">
        <v>231</v>
      </c>
      <c r="D107">
        <v>2103903</v>
      </c>
      <c r="E107" s="5">
        <v>42312.676423611112</v>
      </c>
      <c r="F107" t="s">
        <v>231</v>
      </c>
      <c r="G107" s="6">
        <v>-55443</v>
      </c>
    </row>
    <row r="108" spans="1:7" x14ac:dyDescent="0.2">
      <c r="A108" t="s">
        <v>7</v>
      </c>
      <c r="B108" t="s">
        <v>232</v>
      </c>
      <c r="C108" t="s">
        <v>38</v>
      </c>
      <c r="D108">
        <v>25</v>
      </c>
      <c r="E108" s="5">
        <v>42416.868923611109</v>
      </c>
      <c r="F108" t="s">
        <v>38</v>
      </c>
      <c r="G108" s="6">
        <v>0</v>
      </c>
    </row>
    <row r="109" spans="1:7" x14ac:dyDescent="0.2">
      <c r="A109" t="s">
        <v>7</v>
      </c>
      <c r="B109" t="s">
        <v>233</v>
      </c>
      <c r="C109" t="s">
        <v>234</v>
      </c>
      <c r="D109">
        <v>0</v>
      </c>
      <c r="E109" s="5">
        <v>42592.770810185182</v>
      </c>
      <c r="F109" t="s">
        <v>234</v>
      </c>
      <c r="G109" s="6">
        <v>0</v>
      </c>
    </row>
    <row r="110" spans="1:7" x14ac:dyDescent="0.2">
      <c r="A110" t="s">
        <v>7</v>
      </c>
      <c r="B110" t="s">
        <v>235</v>
      </c>
      <c r="C110" t="s">
        <v>236</v>
      </c>
      <c r="D110">
        <v>0</v>
      </c>
      <c r="E110" s="5">
        <v>42592.770810185182</v>
      </c>
      <c r="F110" t="s">
        <v>236</v>
      </c>
      <c r="G110" s="6">
        <v>0</v>
      </c>
    </row>
    <row r="111" spans="1:7" x14ac:dyDescent="0.2">
      <c r="A111" t="s">
        <v>7</v>
      </c>
      <c r="B111" t="s">
        <v>237</v>
      </c>
      <c r="C111" t="s">
        <v>238</v>
      </c>
      <c r="D111">
        <v>35361</v>
      </c>
      <c r="E111" s="5">
        <v>42592.770810185182</v>
      </c>
      <c r="F111" t="s">
        <v>238</v>
      </c>
      <c r="G111" s="6">
        <v>-957</v>
      </c>
    </row>
    <row r="112" spans="1:7" x14ac:dyDescent="0.2">
      <c r="A112" t="s">
        <v>7</v>
      </c>
      <c r="B112" t="s">
        <v>239</v>
      </c>
      <c r="C112" t="s">
        <v>38</v>
      </c>
      <c r="D112">
        <v>45</v>
      </c>
      <c r="E112" s="5">
        <v>42592.770810185182</v>
      </c>
      <c r="F112" t="s">
        <v>38</v>
      </c>
      <c r="G112" s="6">
        <v>0</v>
      </c>
    </row>
    <row r="113" spans="1:7" x14ac:dyDescent="0.2">
      <c r="A113" t="s">
        <v>7</v>
      </c>
      <c r="B113" t="s">
        <v>240</v>
      </c>
      <c r="C113" t="s">
        <v>241</v>
      </c>
      <c r="D113">
        <v>13039</v>
      </c>
      <c r="E113" s="5">
        <v>42156.143599537034</v>
      </c>
      <c r="F113" t="s">
        <v>241</v>
      </c>
      <c r="G113" s="6">
        <v>0</v>
      </c>
    </row>
    <row r="114" spans="1:7" x14ac:dyDescent="0.2">
      <c r="A114" t="s">
        <v>7</v>
      </c>
      <c r="B114" t="s">
        <v>242</v>
      </c>
      <c r="C114" t="s">
        <v>243</v>
      </c>
      <c r="D114">
        <v>33</v>
      </c>
      <c r="E114" s="5">
        <v>42184.895787037036</v>
      </c>
      <c r="F114" t="s">
        <v>243</v>
      </c>
      <c r="G114" s="6">
        <v>0</v>
      </c>
    </row>
    <row r="115" spans="1:7" x14ac:dyDescent="0.2">
      <c r="A115" t="s">
        <v>7</v>
      </c>
      <c r="B115" t="s">
        <v>244</v>
      </c>
      <c r="C115" t="s">
        <v>245</v>
      </c>
      <c r="D115">
        <v>1257</v>
      </c>
      <c r="E115" s="5">
        <v>42184.896296296298</v>
      </c>
      <c r="F115" t="s">
        <v>245</v>
      </c>
      <c r="G115" s="6">
        <v>-1</v>
      </c>
    </row>
    <row r="116" spans="1:7" x14ac:dyDescent="0.2">
      <c r="A116" t="s">
        <v>7</v>
      </c>
      <c r="B116" t="s">
        <v>246</v>
      </c>
      <c r="C116" t="s">
        <v>38</v>
      </c>
      <c r="D116">
        <v>3</v>
      </c>
      <c r="E116" s="5">
        <v>42600.421076388891</v>
      </c>
      <c r="F116" t="s">
        <v>38</v>
      </c>
      <c r="G116" s="6">
        <v>0</v>
      </c>
    </row>
    <row r="117" spans="1:7" x14ac:dyDescent="0.2">
      <c r="A117" t="s">
        <v>7</v>
      </c>
      <c r="B117" t="s">
        <v>247</v>
      </c>
      <c r="C117" t="s">
        <v>248</v>
      </c>
      <c r="D117">
        <v>1322275</v>
      </c>
      <c r="E117" s="5">
        <v>42080.382280092592</v>
      </c>
      <c r="F117" t="s">
        <v>248</v>
      </c>
      <c r="G117" s="6">
        <v>-5004</v>
      </c>
    </row>
    <row r="118" spans="1:7" x14ac:dyDescent="0.2">
      <c r="A118" t="s">
        <v>7</v>
      </c>
      <c r="B118" t="s">
        <v>249</v>
      </c>
      <c r="C118" t="s">
        <v>250</v>
      </c>
      <c r="D118">
        <v>221366105</v>
      </c>
      <c r="E118" s="5">
        <v>42080.382280092592</v>
      </c>
      <c r="F118" t="s">
        <v>250</v>
      </c>
      <c r="G118" s="6">
        <v>-7896950</v>
      </c>
    </row>
    <row r="119" spans="1:7" x14ac:dyDescent="0.2">
      <c r="A119" t="s">
        <v>7</v>
      </c>
      <c r="B119" t="s">
        <v>251</v>
      </c>
      <c r="C119" t="s">
        <v>250</v>
      </c>
      <c r="D119">
        <v>0</v>
      </c>
      <c r="E119" s="5">
        <v>42612.411516203705</v>
      </c>
      <c r="F119" t="s">
        <v>250</v>
      </c>
      <c r="G119" s="6">
        <v>0</v>
      </c>
    </row>
    <row r="120" spans="1:7" x14ac:dyDescent="0.2">
      <c r="A120" t="s">
        <v>7</v>
      </c>
      <c r="B120" t="s">
        <v>252</v>
      </c>
      <c r="C120" t="s">
        <v>253</v>
      </c>
      <c r="D120">
        <v>252329</v>
      </c>
      <c r="E120" s="5">
        <v>42614.701493055552</v>
      </c>
      <c r="F120" t="s">
        <v>253</v>
      </c>
      <c r="G120" s="6">
        <v>1243</v>
      </c>
    </row>
    <row r="121" spans="1:7" x14ac:dyDescent="0.2">
      <c r="A121" t="s">
        <v>7</v>
      </c>
      <c r="B121" t="s">
        <v>254</v>
      </c>
      <c r="C121" t="s">
        <v>255</v>
      </c>
      <c r="D121">
        <v>15899</v>
      </c>
      <c r="E121" s="5">
        <v>42654.700185185182</v>
      </c>
      <c r="F121" t="s">
        <v>255</v>
      </c>
      <c r="G121" s="6">
        <v>2122</v>
      </c>
    </row>
    <row r="122" spans="1:7" x14ac:dyDescent="0.2">
      <c r="A122" t="s">
        <v>7</v>
      </c>
      <c r="B122" t="s">
        <v>256</v>
      </c>
      <c r="C122" t="s">
        <v>257</v>
      </c>
      <c r="D122">
        <v>908477</v>
      </c>
      <c r="E122" s="5">
        <v>42080.382291666669</v>
      </c>
      <c r="F122" t="s">
        <v>258</v>
      </c>
      <c r="G122" s="6">
        <v>-23867</v>
      </c>
    </row>
    <row r="123" spans="1:7" x14ac:dyDescent="0.2">
      <c r="A123" t="s">
        <v>7</v>
      </c>
      <c r="B123" t="s">
        <v>259</v>
      </c>
      <c r="C123" t="s">
        <v>260</v>
      </c>
      <c r="D123">
        <v>2900</v>
      </c>
      <c r="E123" s="5">
        <v>42156.160428240742</v>
      </c>
      <c r="F123" t="s">
        <v>260</v>
      </c>
      <c r="G123" s="6">
        <v>-2</v>
      </c>
    </row>
    <row r="124" spans="1:7" x14ac:dyDescent="0.2">
      <c r="A124" t="s">
        <v>7</v>
      </c>
      <c r="B124" t="s">
        <v>261</v>
      </c>
      <c r="C124" t="s">
        <v>262</v>
      </c>
      <c r="D124">
        <v>5662858</v>
      </c>
      <c r="E124" s="5">
        <v>42080.382291666669</v>
      </c>
      <c r="F124" t="s">
        <v>263</v>
      </c>
      <c r="G124" s="6">
        <v>-182420</v>
      </c>
    </row>
    <row r="125" spans="1:7" x14ac:dyDescent="0.2">
      <c r="A125" t="s">
        <v>7</v>
      </c>
      <c r="B125" t="s">
        <v>264</v>
      </c>
      <c r="C125" t="s">
        <v>265</v>
      </c>
      <c r="D125">
        <v>126</v>
      </c>
      <c r="E125" s="5">
        <v>42156.16101851852</v>
      </c>
      <c r="F125" t="s">
        <v>265</v>
      </c>
      <c r="G125" s="6">
        <v>0</v>
      </c>
    </row>
    <row r="126" spans="1:7" x14ac:dyDescent="0.2">
      <c r="A126" t="s">
        <v>7</v>
      </c>
      <c r="B126" t="s">
        <v>266</v>
      </c>
      <c r="C126" t="s">
        <v>267</v>
      </c>
      <c r="D126">
        <v>23</v>
      </c>
      <c r="E126" s="5">
        <v>42156.16101851852</v>
      </c>
      <c r="F126" t="s">
        <v>267</v>
      </c>
      <c r="G126" s="6">
        <v>0</v>
      </c>
    </row>
    <row r="127" spans="1:7" x14ac:dyDescent="0.2">
      <c r="A127" t="s">
        <v>7</v>
      </c>
      <c r="B127" t="s">
        <v>268</v>
      </c>
      <c r="C127" t="s">
        <v>269</v>
      </c>
      <c r="D127">
        <v>23</v>
      </c>
      <c r="E127" s="5">
        <v>42156.16101851852</v>
      </c>
      <c r="F127" t="s">
        <v>269</v>
      </c>
      <c r="G127" s="6">
        <v>0</v>
      </c>
    </row>
    <row r="128" spans="1:7" x14ac:dyDescent="0.2">
      <c r="A128" t="s">
        <v>7</v>
      </c>
      <c r="B128" t="s">
        <v>270</v>
      </c>
      <c r="C128" t="s">
        <v>271</v>
      </c>
      <c r="D128">
        <v>3381</v>
      </c>
      <c r="E128" s="5">
        <v>42080.382291666669</v>
      </c>
      <c r="F128" t="s">
        <v>271</v>
      </c>
      <c r="G128" s="6">
        <v>0</v>
      </c>
    </row>
    <row r="129" spans="1:7" x14ac:dyDescent="0.2">
      <c r="A129" t="s">
        <v>7</v>
      </c>
      <c r="B129" t="s">
        <v>272</v>
      </c>
      <c r="C129" t="s">
        <v>273</v>
      </c>
      <c r="D129">
        <v>589193</v>
      </c>
      <c r="E129" s="5">
        <v>42156.161030092589</v>
      </c>
      <c r="F129" t="s">
        <v>273</v>
      </c>
      <c r="G129" s="6">
        <v>-10659</v>
      </c>
    </row>
    <row r="130" spans="1:7" x14ac:dyDescent="0.2">
      <c r="A130" t="s">
        <v>7</v>
      </c>
      <c r="B130" t="s">
        <v>274</v>
      </c>
      <c r="C130" t="s">
        <v>275</v>
      </c>
      <c r="D130">
        <v>170341</v>
      </c>
      <c r="E130" s="5">
        <v>42156.161053240743</v>
      </c>
      <c r="F130" t="s">
        <v>275</v>
      </c>
      <c r="G130" s="6">
        <v>-3190</v>
      </c>
    </row>
    <row r="131" spans="1:7" x14ac:dyDescent="0.2">
      <c r="A131" t="s">
        <v>7</v>
      </c>
      <c r="B131" t="s">
        <v>276</v>
      </c>
      <c r="C131" t="s">
        <v>277</v>
      </c>
      <c r="D131">
        <v>5435360</v>
      </c>
      <c r="E131" s="5">
        <v>42156.161064814813</v>
      </c>
      <c r="F131" t="s">
        <v>277</v>
      </c>
      <c r="G131" s="6">
        <v>-73988</v>
      </c>
    </row>
    <row r="132" spans="1:7" x14ac:dyDescent="0.2">
      <c r="A132" t="s">
        <v>7</v>
      </c>
      <c r="B132" t="s">
        <v>278</v>
      </c>
      <c r="C132" t="s">
        <v>279</v>
      </c>
      <c r="D132">
        <v>64912</v>
      </c>
      <c r="E132" s="5">
        <v>42156.161574074074</v>
      </c>
      <c r="F132" t="s">
        <v>279</v>
      </c>
      <c r="G132" s="6">
        <v>0</v>
      </c>
    </row>
    <row r="133" spans="1:7" x14ac:dyDescent="0.2">
      <c r="A133" t="s">
        <v>7</v>
      </c>
      <c r="B133" t="s">
        <v>280</v>
      </c>
      <c r="C133" t="s">
        <v>281</v>
      </c>
      <c r="D133">
        <v>112</v>
      </c>
      <c r="E133" s="5">
        <v>42156.161585648151</v>
      </c>
      <c r="F133" t="s">
        <v>281</v>
      </c>
      <c r="G133" s="6">
        <v>0</v>
      </c>
    </row>
    <row r="134" spans="1:7" x14ac:dyDescent="0.2">
      <c r="A134" t="s">
        <v>7</v>
      </c>
      <c r="B134" t="s">
        <v>282</v>
      </c>
      <c r="C134" t="s">
        <v>283</v>
      </c>
      <c r="D134">
        <v>833036</v>
      </c>
      <c r="E134" s="5">
        <v>42080.382291666669</v>
      </c>
      <c r="F134" t="s">
        <v>284</v>
      </c>
      <c r="G134" s="6">
        <v>-20496</v>
      </c>
    </row>
    <row r="135" spans="1:7" x14ac:dyDescent="0.2">
      <c r="A135" t="s">
        <v>7</v>
      </c>
      <c r="B135" t="s">
        <v>285</v>
      </c>
      <c r="C135" t="s">
        <v>286</v>
      </c>
      <c r="D135">
        <v>3811</v>
      </c>
      <c r="E135" s="5">
        <v>42156.161620370367</v>
      </c>
      <c r="F135" t="s">
        <v>286</v>
      </c>
      <c r="G135" s="6">
        <v>0</v>
      </c>
    </row>
    <row r="136" spans="1:7" x14ac:dyDescent="0.2">
      <c r="A136" t="s">
        <v>7</v>
      </c>
      <c r="B136" t="s">
        <v>287</v>
      </c>
      <c r="C136" t="s">
        <v>288</v>
      </c>
      <c r="D136">
        <v>3114</v>
      </c>
      <c r="E136" s="5">
        <v>42156.161620370367</v>
      </c>
      <c r="F136" t="s">
        <v>288</v>
      </c>
      <c r="G136" s="6">
        <v>0</v>
      </c>
    </row>
    <row r="137" spans="1:7" x14ac:dyDescent="0.2">
      <c r="A137" t="s">
        <v>7</v>
      </c>
      <c r="B137" t="s">
        <v>289</v>
      </c>
      <c r="C137" t="s">
        <v>290</v>
      </c>
      <c r="D137">
        <v>363</v>
      </c>
      <c r="E137" s="5">
        <v>42440.594166666669</v>
      </c>
      <c r="F137" t="s">
        <v>290</v>
      </c>
      <c r="G137" s="6">
        <v>-8</v>
      </c>
    </row>
    <row r="138" spans="1:7" x14ac:dyDescent="0.2">
      <c r="A138" t="s">
        <v>7</v>
      </c>
      <c r="B138" t="s">
        <v>291</v>
      </c>
      <c r="C138" t="s">
        <v>292</v>
      </c>
      <c r="D138">
        <v>1193588</v>
      </c>
      <c r="E138" s="5">
        <v>42156.161620370367</v>
      </c>
      <c r="F138" t="s">
        <v>292</v>
      </c>
      <c r="G138" s="6">
        <v>-26913</v>
      </c>
    </row>
    <row r="139" spans="1:7" x14ac:dyDescent="0.2">
      <c r="A139" t="s">
        <v>7</v>
      </c>
      <c r="B139" t="s">
        <v>293</v>
      </c>
      <c r="C139" t="s">
        <v>294</v>
      </c>
      <c r="D139">
        <v>228810</v>
      </c>
      <c r="E139" s="5">
        <v>42174.735821759263</v>
      </c>
      <c r="F139" t="s">
        <v>294</v>
      </c>
      <c r="G139" s="6">
        <v>-1089</v>
      </c>
    </row>
    <row r="140" spans="1:7" x14ac:dyDescent="0.2">
      <c r="A140" t="s">
        <v>7</v>
      </c>
      <c r="B140" t="s">
        <v>295</v>
      </c>
      <c r="C140" t="s">
        <v>296</v>
      </c>
      <c r="D140">
        <v>316309</v>
      </c>
      <c r="E140" s="5">
        <v>42156.16170138889</v>
      </c>
      <c r="F140" t="s">
        <v>296</v>
      </c>
      <c r="G140" s="6">
        <v>0</v>
      </c>
    </row>
    <row r="141" spans="1:7" x14ac:dyDescent="0.2">
      <c r="A141" t="s">
        <v>7</v>
      </c>
      <c r="B141" t="s">
        <v>297</v>
      </c>
      <c r="C141" t="s">
        <v>298</v>
      </c>
      <c r="D141">
        <v>40</v>
      </c>
      <c r="E141" s="5">
        <v>42156.16170138889</v>
      </c>
      <c r="F141" t="s">
        <v>298</v>
      </c>
      <c r="G141" s="6">
        <v>0</v>
      </c>
    </row>
    <row r="142" spans="1:7" x14ac:dyDescent="0.2">
      <c r="A142" t="s">
        <v>7</v>
      </c>
      <c r="B142" t="s">
        <v>299</v>
      </c>
      <c r="C142" t="s">
        <v>300</v>
      </c>
      <c r="D142">
        <v>1641261</v>
      </c>
      <c r="E142" s="5">
        <v>42080.382303240738</v>
      </c>
      <c r="F142" t="s">
        <v>301</v>
      </c>
      <c r="G142" s="6">
        <v>-38803</v>
      </c>
    </row>
    <row r="143" spans="1:7" x14ac:dyDescent="0.2">
      <c r="A143" t="s">
        <v>7</v>
      </c>
      <c r="B143" t="s">
        <v>302</v>
      </c>
      <c r="C143" t="s">
        <v>38</v>
      </c>
      <c r="D143">
        <v>7331</v>
      </c>
      <c r="E143" s="5">
        <v>42156.161932870367</v>
      </c>
      <c r="F143" t="s">
        <v>38</v>
      </c>
      <c r="G143" s="6">
        <v>-13</v>
      </c>
    </row>
    <row r="144" spans="1:7" x14ac:dyDescent="0.2">
      <c r="A144" t="s">
        <v>7</v>
      </c>
      <c r="B144" t="s">
        <v>303</v>
      </c>
      <c r="C144" t="s">
        <v>38</v>
      </c>
      <c r="D144">
        <v>532</v>
      </c>
      <c r="E144" s="5">
        <v>42080.382303240738</v>
      </c>
      <c r="F144" t="s">
        <v>38</v>
      </c>
      <c r="G144" s="6">
        <v>0</v>
      </c>
    </row>
    <row r="145" spans="1:7" x14ac:dyDescent="0.2">
      <c r="A145" t="s">
        <v>7</v>
      </c>
      <c r="B145" t="s">
        <v>304</v>
      </c>
      <c r="C145" t="s">
        <v>305</v>
      </c>
      <c r="D145">
        <v>16202963</v>
      </c>
      <c r="E145" s="5">
        <v>42156.161944444444</v>
      </c>
      <c r="F145" t="s">
        <v>305</v>
      </c>
      <c r="G145" s="6">
        <v>-300697</v>
      </c>
    </row>
    <row r="146" spans="1:7" x14ac:dyDescent="0.2">
      <c r="A146" t="s">
        <v>7</v>
      </c>
      <c r="B146" t="s">
        <v>306</v>
      </c>
      <c r="C146" t="s">
        <v>307</v>
      </c>
      <c r="D146">
        <v>0</v>
      </c>
      <c r="E146" s="5">
        <v>42156.162291666667</v>
      </c>
      <c r="F146" t="s">
        <v>307</v>
      </c>
      <c r="G146" s="6">
        <v>0</v>
      </c>
    </row>
    <row r="147" spans="1:7" x14ac:dyDescent="0.2">
      <c r="A147" t="s">
        <v>7</v>
      </c>
      <c r="B147" t="s">
        <v>308</v>
      </c>
      <c r="C147" t="s">
        <v>38</v>
      </c>
      <c r="D147">
        <v>44463</v>
      </c>
      <c r="E147" s="5">
        <v>42474.625740740739</v>
      </c>
      <c r="F147" t="s">
        <v>38</v>
      </c>
      <c r="G147" s="6">
        <v>-1524</v>
      </c>
    </row>
    <row r="148" spans="1:7" x14ac:dyDescent="0.2">
      <c r="A148" t="s">
        <v>7</v>
      </c>
      <c r="B148" t="s">
        <v>309</v>
      </c>
      <c r="C148" t="s">
        <v>310</v>
      </c>
      <c r="D148">
        <v>12425476</v>
      </c>
      <c r="E148" s="5">
        <v>42080.382303240738</v>
      </c>
      <c r="F148" t="s">
        <v>310</v>
      </c>
      <c r="G148" s="6">
        <v>-213005</v>
      </c>
    </row>
    <row r="149" spans="1:7" x14ac:dyDescent="0.2">
      <c r="A149" t="s">
        <v>7</v>
      </c>
      <c r="B149" t="s">
        <v>311</v>
      </c>
      <c r="C149" t="s">
        <v>312</v>
      </c>
      <c r="D149">
        <v>0</v>
      </c>
      <c r="E149" s="5">
        <v>42614.701736111114</v>
      </c>
      <c r="F149" t="s">
        <v>312</v>
      </c>
      <c r="G149" s="6">
        <v>0</v>
      </c>
    </row>
    <row r="150" spans="1:7" x14ac:dyDescent="0.2">
      <c r="A150" t="s">
        <v>7</v>
      </c>
      <c r="B150" t="s">
        <v>313</v>
      </c>
      <c r="C150" t="s">
        <v>314</v>
      </c>
      <c r="D150">
        <v>187</v>
      </c>
      <c r="E150" s="5">
        <v>42656.418611111112</v>
      </c>
      <c r="F150" t="s">
        <v>314</v>
      </c>
      <c r="G150" s="6">
        <v>0</v>
      </c>
    </row>
    <row r="151" spans="1:7" x14ac:dyDescent="0.2">
      <c r="A151" t="s">
        <v>7</v>
      </c>
      <c r="B151" t="s">
        <v>315</v>
      </c>
      <c r="C151" t="s">
        <v>316</v>
      </c>
      <c r="D151">
        <v>3347</v>
      </c>
      <c r="E151" s="5">
        <v>42156.163356481484</v>
      </c>
      <c r="F151" t="s">
        <v>316</v>
      </c>
      <c r="G151" s="6">
        <v>-136</v>
      </c>
    </row>
    <row r="152" spans="1:7" x14ac:dyDescent="0.2">
      <c r="A152" t="s">
        <v>7</v>
      </c>
      <c r="B152" t="s">
        <v>317</v>
      </c>
      <c r="C152" t="s">
        <v>318</v>
      </c>
      <c r="D152">
        <v>24</v>
      </c>
      <c r="E152" s="5">
        <v>42156.163356481484</v>
      </c>
      <c r="F152" t="s">
        <v>318</v>
      </c>
      <c r="G152" s="6">
        <v>0</v>
      </c>
    </row>
    <row r="153" spans="1:7" x14ac:dyDescent="0.2">
      <c r="A153" t="s">
        <v>7</v>
      </c>
      <c r="B153" t="s">
        <v>319</v>
      </c>
      <c r="C153" t="s">
        <v>320</v>
      </c>
      <c r="D153">
        <v>2413911</v>
      </c>
      <c r="E153" s="5">
        <v>42110.350127314814</v>
      </c>
      <c r="F153" t="s">
        <v>320</v>
      </c>
      <c r="G153" s="6">
        <v>-12471</v>
      </c>
    </row>
    <row r="154" spans="1:7" x14ac:dyDescent="0.2">
      <c r="A154" t="s">
        <v>7</v>
      </c>
      <c r="B154" t="s">
        <v>321</v>
      </c>
      <c r="C154" t="s">
        <v>38</v>
      </c>
      <c r="D154">
        <v>39926</v>
      </c>
      <c r="E154" s="5">
        <v>42600.421076388891</v>
      </c>
      <c r="F154" t="s">
        <v>38</v>
      </c>
      <c r="G154" s="6">
        <v>-89</v>
      </c>
    </row>
    <row r="155" spans="1:7" x14ac:dyDescent="0.2">
      <c r="A155" t="s">
        <v>7</v>
      </c>
      <c r="B155" t="s">
        <v>322</v>
      </c>
      <c r="C155" t="s">
        <v>38</v>
      </c>
      <c r="D155">
        <v>3800</v>
      </c>
      <c r="E155" s="5">
        <v>42600.421076388891</v>
      </c>
      <c r="F155" t="s">
        <v>38</v>
      </c>
      <c r="G155" s="6">
        <v>-66</v>
      </c>
    </row>
    <row r="156" spans="1:7" x14ac:dyDescent="0.2">
      <c r="A156" t="s">
        <v>7</v>
      </c>
      <c r="B156" t="s">
        <v>323</v>
      </c>
      <c r="C156" t="s">
        <v>324</v>
      </c>
      <c r="D156">
        <v>780</v>
      </c>
      <c r="E156" s="5">
        <v>42156.163356481484</v>
      </c>
      <c r="F156" t="s">
        <v>324</v>
      </c>
      <c r="G156" s="6">
        <v>-8</v>
      </c>
    </row>
    <row r="157" spans="1:7" x14ac:dyDescent="0.2">
      <c r="A157" t="s">
        <v>7</v>
      </c>
      <c r="B157" t="s">
        <v>325</v>
      </c>
      <c r="C157" t="s">
        <v>326</v>
      </c>
      <c r="D157">
        <v>1775</v>
      </c>
      <c r="E157" s="5">
        <v>42156.163356481484</v>
      </c>
      <c r="F157" t="s">
        <v>326</v>
      </c>
      <c r="G157" s="6">
        <v>0</v>
      </c>
    </row>
    <row r="158" spans="1:7" x14ac:dyDescent="0.2">
      <c r="A158" t="s">
        <v>7</v>
      </c>
      <c r="B158" t="s">
        <v>327</v>
      </c>
      <c r="C158" t="s">
        <v>328</v>
      </c>
      <c r="D158">
        <v>12305361</v>
      </c>
      <c r="E158" s="5">
        <v>42156.163356481484</v>
      </c>
      <c r="F158" t="s">
        <v>328</v>
      </c>
      <c r="G158" s="6">
        <v>-156768</v>
      </c>
    </row>
    <row r="159" spans="1:7" x14ac:dyDescent="0.2">
      <c r="A159" t="s">
        <v>7</v>
      </c>
      <c r="B159" t="s">
        <v>329</v>
      </c>
      <c r="C159" t="s">
        <v>330</v>
      </c>
      <c r="D159">
        <v>14</v>
      </c>
      <c r="E159" s="5">
        <v>42156.16375</v>
      </c>
      <c r="F159" t="s">
        <v>330</v>
      </c>
      <c r="G159" s="6">
        <v>0</v>
      </c>
    </row>
    <row r="160" spans="1:7" x14ac:dyDescent="0.2">
      <c r="A160" t="s">
        <v>7</v>
      </c>
      <c r="B160" t="s">
        <v>331</v>
      </c>
      <c r="C160" t="s">
        <v>332</v>
      </c>
      <c r="D160">
        <v>681</v>
      </c>
      <c r="E160" s="5">
        <v>42632.735381944447</v>
      </c>
      <c r="F160" t="s">
        <v>332</v>
      </c>
      <c r="G160" s="6">
        <v>0</v>
      </c>
    </row>
    <row r="161" spans="1:7" x14ac:dyDescent="0.2">
      <c r="A161" t="s">
        <v>7</v>
      </c>
      <c r="B161" t="s">
        <v>333</v>
      </c>
      <c r="C161" t="s">
        <v>334</v>
      </c>
      <c r="D161">
        <v>0</v>
      </c>
      <c r="E161" s="5">
        <v>42632.735381944447</v>
      </c>
      <c r="F161" t="s">
        <v>334</v>
      </c>
      <c r="G161" s="6">
        <v>0</v>
      </c>
    </row>
    <row r="162" spans="1:7" x14ac:dyDescent="0.2">
      <c r="A162" t="s">
        <v>7</v>
      </c>
      <c r="B162" t="s">
        <v>335</v>
      </c>
      <c r="C162" t="s">
        <v>336</v>
      </c>
      <c r="D162">
        <v>37177</v>
      </c>
      <c r="E162" s="5">
        <v>42080.382314814815</v>
      </c>
      <c r="F162" t="s">
        <v>337</v>
      </c>
      <c r="G162" s="6">
        <v>-176</v>
      </c>
    </row>
    <row r="163" spans="1:7" x14ac:dyDescent="0.2">
      <c r="A163" t="s">
        <v>7</v>
      </c>
      <c r="B163" t="s">
        <v>338</v>
      </c>
      <c r="C163" t="s">
        <v>339</v>
      </c>
      <c r="D163">
        <v>433</v>
      </c>
      <c r="E163" s="5">
        <v>42080.382314814815</v>
      </c>
      <c r="F163" t="s">
        <v>339</v>
      </c>
      <c r="G163" s="6">
        <v>0</v>
      </c>
    </row>
    <row r="164" spans="1:7" x14ac:dyDescent="0.2">
      <c r="A164" t="s">
        <v>7</v>
      </c>
      <c r="B164" t="s">
        <v>340</v>
      </c>
      <c r="C164" t="s">
        <v>341</v>
      </c>
      <c r="D164">
        <v>820</v>
      </c>
      <c r="E164" s="5">
        <v>42080.382314814815</v>
      </c>
      <c r="F164" t="s">
        <v>341</v>
      </c>
      <c r="G164" s="6">
        <v>0</v>
      </c>
    </row>
    <row r="165" spans="1:7" x14ac:dyDescent="0.2">
      <c r="A165" t="s">
        <v>7</v>
      </c>
      <c r="B165" t="s">
        <v>342</v>
      </c>
      <c r="C165" t="s">
        <v>343</v>
      </c>
      <c r="D165">
        <v>3467</v>
      </c>
      <c r="E165" s="5">
        <v>42080.382326388892</v>
      </c>
      <c r="F165" t="s">
        <v>343</v>
      </c>
      <c r="G165" s="6">
        <v>0</v>
      </c>
    </row>
    <row r="166" spans="1:7" x14ac:dyDescent="0.2">
      <c r="A166" t="s">
        <v>7</v>
      </c>
      <c r="B166" t="s">
        <v>344</v>
      </c>
      <c r="C166" t="s">
        <v>345</v>
      </c>
      <c r="D166">
        <v>95</v>
      </c>
      <c r="E166" s="5">
        <v>42156.163900462961</v>
      </c>
      <c r="F166" t="s">
        <v>345</v>
      </c>
      <c r="G166" s="6">
        <v>2</v>
      </c>
    </row>
    <row r="167" spans="1:7" x14ac:dyDescent="0.2">
      <c r="A167" t="s">
        <v>7</v>
      </c>
      <c r="B167" t="s">
        <v>346</v>
      </c>
      <c r="C167" t="s">
        <v>347</v>
      </c>
      <c r="D167">
        <v>871149</v>
      </c>
      <c r="E167" s="5">
        <v>42156.163912037038</v>
      </c>
      <c r="F167" t="s">
        <v>347</v>
      </c>
      <c r="G167" s="6">
        <v>-13504</v>
      </c>
    </row>
    <row r="168" spans="1:7" x14ac:dyDescent="0.2">
      <c r="A168" t="s">
        <v>7</v>
      </c>
      <c r="B168" t="s">
        <v>348</v>
      </c>
      <c r="C168" t="s">
        <v>349</v>
      </c>
      <c r="D168">
        <v>1062</v>
      </c>
      <c r="E168" s="5">
        <v>42080.382326388892</v>
      </c>
      <c r="F168" t="s">
        <v>349</v>
      </c>
      <c r="G168" s="6">
        <v>-5</v>
      </c>
    </row>
    <row r="169" spans="1:7" x14ac:dyDescent="0.2">
      <c r="A169" t="s">
        <v>7</v>
      </c>
      <c r="B169" t="s">
        <v>350</v>
      </c>
      <c r="C169" t="s">
        <v>351</v>
      </c>
      <c r="D169">
        <v>8028</v>
      </c>
      <c r="E169" s="5">
        <v>42169.412997685184</v>
      </c>
      <c r="F169" t="s">
        <v>351</v>
      </c>
      <c r="G169" s="6">
        <v>-39</v>
      </c>
    </row>
    <row r="170" spans="1:7" x14ac:dyDescent="0.2">
      <c r="A170" t="s">
        <v>7</v>
      </c>
      <c r="B170" t="s">
        <v>352</v>
      </c>
      <c r="C170" t="s">
        <v>353</v>
      </c>
      <c r="D170">
        <v>149255</v>
      </c>
      <c r="E170" s="5">
        <v>42169.412997685184</v>
      </c>
      <c r="F170" t="s">
        <v>353</v>
      </c>
      <c r="G170" s="6">
        <v>-147</v>
      </c>
    </row>
    <row r="171" spans="1:7" x14ac:dyDescent="0.2">
      <c r="A171" t="s">
        <v>7</v>
      </c>
      <c r="B171" t="s">
        <v>354</v>
      </c>
      <c r="C171" t="s">
        <v>355</v>
      </c>
      <c r="D171">
        <v>43593</v>
      </c>
      <c r="E171" s="5">
        <v>42186.005937499998</v>
      </c>
      <c r="F171" t="s">
        <v>355</v>
      </c>
      <c r="G171" s="6">
        <v>0</v>
      </c>
    </row>
    <row r="172" spans="1:7" x14ac:dyDescent="0.2">
      <c r="A172" t="s">
        <v>7</v>
      </c>
      <c r="B172" t="s">
        <v>356</v>
      </c>
      <c r="C172" t="s">
        <v>357</v>
      </c>
      <c r="D172">
        <v>331491</v>
      </c>
      <c r="E172" s="5">
        <v>42185.757361111115</v>
      </c>
      <c r="F172" t="s">
        <v>357</v>
      </c>
      <c r="G172" s="6">
        <v>-14277</v>
      </c>
    </row>
    <row r="173" spans="1:7" x14ac:dyDescent="0.2">
      <c r="A173" t="s">
        <v>7</v>
      </c>
      <c r="B173" t="s">
        <v>358</v>
      </c>
      <c r="C173" t="s">
        <v>38</v>
      </c>
      <c r="D173">
        <v>1643</v>
      </c>
      <c r="E173" s="5">
        <v>42347.549201388887</v>
      </c>
      <c r="F173" t="s">
        <v>38</v>
      </c>
      <c r="G173" s="6">
        <v>5</v>
      </c>
    </row>
    <row r="174" spans="1:7" x14ac:dyDescent="0.2">
      <c r="A174" t="s">
        <v>7</v>
      </c>
      <c r="B174" t="s">
        <v>359</v>
      </c>
      <c r="C174" t="s">
        <v>360</v>
      </c>
      <c r="D174">
        <v>310</v>
      </c>
      <c r="E174" s="5">
        <v>42269.809525462966</v>
      </c>
      <c r="F174" t="s">
        <v>360</v>
      </c>
      <c r="G174" s="6">
        <v>-5</v>
      </c>
    </row>
    <row r="175" spans="1:7" x14ac:dyDescent="0.2">
      <c r="A175" t="s">
        <v>7</v>
      </c>
      <c r="B175" t="s">
        <v>361</v>
      </c>
      <c r="C175" t="s">
        <v>362</v>
      </c>
      <c r="D175">
        <v>564</v>
      </c>
      <c r="E175" s="5">
        <v>42135.655763888892</v>
      </c>
      <c r="F175" t="s">
        <v>362</v>
      </c>
      <c r="G175" s="6">
        <v>3</v>
      </c>
    </row>
    <row r="176" spans="1:7" x14ac:dyDescent="0.2">
      <c r="A176" t="s">
        <v>7</v>
      </c>
      <c r="B176" t="s">
        <v>363</v>
      </c>
      <c r="C176" t="s">
        <v>38</v>
      </c>
      <c r="D176">
        <v>226</v>
      </c>
      <c r="E176" s="5">
        <v>42156.163935185185</v>
      </c>
      <c r="F176" t="s">
        <v>38</v>
      </c>
      <c r="G176" s="6">
        <v>0</v>
      </c>
    </row>
    <row r="177" spans="1:7" x14ac:dyDescent="0.2">
      <c r="A177" t="s">
        <v>7</v>
      </c>
      <c r="B177" t="s">
        <v>364</v>
      </c>
      <c r="C177" t="s">
        <v>365</v>
      </c>
      <c r="D177">
        <v>29414</v>
      </c>
      <c r="E177" s="5">
        <v>42080.382326388892</v>
      </c>
      <c r="F177" t="s">
        <v>366</v>
      </c>
      <c r="G177" s="6">
        <v>0</v>
      </c>
    </row>
    <row r="178" spans="1:7" x14ac:dyDescent="0.2">
      <c r="A178" t="s">
        <v>7</v>
      </c>
      <c r="B178" t="s">
        <v>367</v>
      </c>
      <c r="C178" t="s">
        <v>368</v>
      </c>
      <c r="D178">
        <v>2</v>
      </c>
      <c r="E178" s="5">
        <v>42080.382326388892</v>
      </c>
      <c r="F178" t="s">
        <v>369</v>
      </c>
      <c r="G178" s="6">
        <v>0</v>
      </c>
    </row>
    <row r="179" spans="1:7" x14ac:dyDescent="0.2">
      <c r="A179" t="s">
        <v>7</v>
      </c>
      <c r="B179" t="s">
        <v>370</v>
      </c>
      <c r="C179" t="s">
        <v>38</v>
      </c>
      <c r="D179">
        <v>2847</v>
      </c>
      <c r="E179" s="5">
        <v>42537.835694444446</v>
      </c>
      <c r="F179" t="s">
        <v>38</v>
      </c>
      <c r="G179" s="6">
        <v>-64</v>
      </c>
    </row>
    <row r="180" spans="1:7" x14ac:dyDescent="0.2">
      <c r="A180" t="s">
        <v>7</v>
      </c>
      <c r="B180" t="s">
        <v>371</v>
      </c>
      <c r="C180" t="s">
        <v>372</v>
      </c>
      <c r="D180">
        <v>6941</v>
      </c>
      <c r="E180" s="5">
        <v>42585.781215277777</v>
      </c>
      <c r="F180" t="s">
        <v>372</v>
      </c>
      <c r="G180" s="6">
        <v>-381</v>
      </c>
    </row>
    <row r="181" spans="1:7" x14ac:dyDescent="0.2">
      <c r="A181" t="s">
        <v>7</v>
      </c>
      <c r="B181" t="s">
        <v>373</v>
      </c>
      <c r="C181" t="s">
        <v>368</v>
      </c>
      <c r="D181">
        <v>17472</v>
      </c>
      <c r="E181" s="5">
        <v>42080.382326388892</v>
      </c>
      <c r="F181" t="s">
        <v>368</v>
      </c>
      <c r="G181" s="6">
        <v>0</v>
      </c>
    </row>
    <row r="182" spans="1:7" x14ac:dyDescent="0.2">
      <c r="A182" t="s">
        <v>7</v>
      </c>
      <c r="B182" t="s">
        <v>374</v>
      </c>
      <c r="C182" t="s">
        <v>368</v>
      </c>
      <c r="D182">
        <v>379140</v>
      </c>
      <c r="E182" s="5">
        <v>42080.382326388892</v>
      </c>
      <c r="F182" t="s">
        <v>375</v>
      </c>
      <c r="G182" s="6">
        <v>0</v>
      </c>
    </row>
    <row r="183" spans="1:7" x14ac:dyDescent="0.2">
      <c r="A183" t="s">
        <v>7</v>
      </c>
      <c r="B183" t="s">
        <v>376</v>
      </c>
      <c r="C183" t="s">
        <v>377</v>
      </c>
      <c r="D183">
        <v>10587626</v>
      </c>
      <c r="E183" s="5">
        <v>42080.382326388892</v>
      </c>
      <c r="F183" t="s">
        <v>378</v>
      </c>
      <c r="G183" s="6">
        <v>-368464</v>
      </c>
    </row>
    <row r="184" spans="1:7" x14ac:dyDescent="0.2">
      <c r="A184" t="s">
        <v>7</v>
      </c>
      <c r="B184" t="s">
        <v>379</v>
      </c>
      <c r="C184" t="s">
        <v>380</v>
      </c>
      <c r="D184">
        <v>21156</v>
      </c>
      <c r="E184" s="5">
        <v>42585.781215277777</v>
      </c>
      <c r="F184" t="s">
        <v>380</v>
      </c>
      <c r="G184" s="6">
        <v>-1042</v>
      </c>
    </row>
    <row r="185" spans="1:7" x14ac:dyDescent="0.2">
      <c r="A185" t="s">
        <v>7</v>
      </c>
      <c r="B185" t="s">
        <v>381</v>
      </c>
      <c r="C185" t="s">
        <v>382</v>
      </c>
      <c r="D185">
        <v>9517231</v>
      </c>
      <c r="E185" s="5">
        <v>42080.382337962961</v>
      </c>
      <c r="F185" t="s">
        <v>383</v>
      </c>
      <c r="G185" s="6">
        <v>-260931</v>
      </c>
    </row>
    <row r="186" spans="1:7" x14ac:dyDescent="0.2">
      <c r="A186" t="s">
        <v>7</v>
      </c>
      <c r="B186" t="s">
        <v>384</v>
      </c>
      <c r="C186" t="s">
        <v>382</v>
      </c>
      <c r="D186">
        <v>548</v>
      </c>
      <c r="E186" s="5">
        <v>42614.858043981483</v>
      </c>
      <c r="F186" t="s">
        <v>382</v>
      </c>
      <c r="G186" s="6">
        <v>0</v>
      </c>
    </row>
    <row r="187" spans="1:7" x14ac:dyDescent="0.2">
      <c r="A187" t="s">
        <v>7</v>
      </c>
      <c r="B187" t="s">
        <v>385</v>
      </c>
      <c r="C187" t="s">
        <v>382</v>
      </c>
      <c r="D187">
        <v>854</v>
      </c>
      <c r="E187" s="5">
        <v>42614.956597222219</v>
      </c>
      <c r="F187" t="s">
        <v>382</v>
      </c>
      <c r="G187" s="6">
        <v>0</v>
      </c>
    </row>
    <row r="188" spans="1:7" x14ac:dyDescent="0.2">
      <c r="A188" t="s">
        <v>7</v>
      </c>
      <c r="B188" t="s">
        <v>386</v>
      </c>
      <c r="C188" t="s">
        <v>368</v>
      </c>
      <c r="D188">
        <v>5292</v>
      </c>
      <c r="E188" s="5">
        <v>42080.382337962961</v>
      </c>
      <c r="F188" t="s">
        <v>368</v>
      </c>
      <c r="G188" s="6">
        <v>0</v>
      </c>
    </row>
    <row r="189" spans="1:7" x14ac:dyDescent="0.2">
      <c r="A189" t="s">
        <v>7</v>
      </c>
      <c r="B189" t="s">
        <v>387</v>
      </c>
      <c r="C189" t="s">
        <v>388</v>
      </c>
      <c r="D189">
        <v>144</v>
      </c>
      <c r="E189" s="5">
        <v>42080.382337962961</v>
      </c>
      <c r="F189" t="s">
        <v>388</v>
      </c>
      <c r="G189" s="6">
        <v>-1</v>
      </c>
    </row>
    <row r="190" spans="1:7" x14ac:dyDescent="0.2">
      <c r="A190" t="s">
        <v>7</v>
      </c>
      <c r="B190" t="s">
        <v>389</v>
      </c>
      <c r="C190" t="s">
        <v>390</v>
      </c>
      <c r="D190">
        <v>252980</v>
      </c>
      <c r="E190" s="5">
        <v>42080.382337962961</v>
      </c>
      <c r="F190" t="s">
        <v>390</v>
      </c>
      <c r="G190" s="6">
        <v>27222</v>
      </c>
    </row>
    <row r="191" spans="1:7" x14ac:dyDescent="0.2">
      <c r="A191" t="s">
        <v>7</v>
      </c>
      <c r="B191" t="s">
        <v>391</v>
      </c>
      <c r="C191" t="s">
        <v>392</v>
      </c>
      <c r="D191">
        <v>4294186</v>
      </c>
      <c r="E191" s="5">
        <v>42089.672199074077</v>
      </c>
      <c r="F191" t="s">
        <v>392</v>
      </c>
      <c r="G191" s="6">
        <v>-126704</v>
      </c>
    </row>
    <row r="192" spans="1:7" x14ac:dyDescent="0.2">
      <c r="A192" t="s">
        <v>7</v>
      </c>
      <c r="B192" t="s">
        <v>393</v>
      </c>
      <c r="C192" t="s">
        <v>394</v>
      </c>
      <c r="D192">
        <v>0</v>
      </c>
      <c r="E192" s="5">
        <v>42487.74359953704</v>
      </c>
      <c r="F192" t="s">
        <v>394</v>
      </c>
      <c r="G192" s="6">
        <v>0</v>
      </c>
    </row>
    <row r="193" spans="1:7" x14ac:dyDescent="0.2">
      <c r="A193" t="s">
        <v>7</v>
      </c>
      <c r="B193" t="s">
        <v>395</v>
      </c>
      <c r="C193" t="s">
        <v>396</v>
      </c>
      <c r="D193">
        <v>0</v>
      </c>
      <c r="E193" s="5">
        <v>42487.74359953704</v>
      </c>
      <c r="F193" t="s">
        <v>396</v>
      </c>
      <c r="G193" s="6">
        <v>0</v>
      </c>
    </row>
    <row r="194" spans="1:7" x14ac:dyDescent="0.2">
      <c r="A194" t="s">
        <v>7</v>
      </c>
      <c r="B194" t="s">
        <v>397</v>
      </c>
      <c r="C194" t="s">
        <v>398</v>
      </c>
      <c r="D194">
        <v>0</v>
      </c>
      <c r="E194" s="5">
        <v>42487.74359953704</v>
      </c>
      <c r="F194" t="s">
        <v>398</v>
      </c>
      <c r="G194" s="6">
        <v>0</v>
      </c>
    </row>
    <row r="195" spans="1:7" x14ac:dyDescent="0.2">
      <c r="A195" t="s">
        <v>7</v>
      </c>
      <c r="B195" t="s">
        <v>399</v>
      </c>
      <c r="C195" t="s">
        <v>400</v>
      </c>
      <c r="D195">
        <v>2216</v>
      </c>
      <c r="E195" s="5">
        <v>42080.382337962961</v>
      </c>
      <c r="F195" t="s">
        <v>401</v>
      </c>
      <c r="G195" s="6">
        <v>0</v>
      </c>
    </row>
    <row r="196" spans="1:7" x14ac:dyDescent="0.2">
      <c r="A196" t="s">
        <v>7</v>
      </c>
      <c r="B196" t="s">
        <v>402</v>
      </c>
      <c r="C196" t="s">
        <v>403</v>
      </c>
      <c r="D196">
        <v>490383</v>
      </c>
      <c r="E196" s="5">
        <v>42599.767800925925</v>
      </c>
      <c r="F196" t="s">
        <v>403</v>
      </c>
      <c r="G196" s="6">
        <v>-3079</v>
      </c>
    </row>
    <row r="197" spans="1:7" x14ac:dyDescent="0.2">
      <c r="A197" t="s">
        <v>7</v>
      </c>
      <c r="B197" t="s">
        <v>404</v>
      </c>
      <c r="C197" t="s">
        <v>405</v>
      </c>
      <c r="D197">
        <v>706</v>
      </c>
      <c r="E197" s="5">
        <v>42212.777592592596</v>
      </c>
      <c r="F197" t="s">
        <v>405</v>
      </c>
      <c r="G197" s="6">
        <v>-13</v>
      </c>
    </row>
    <row r="198" spans="1:7" x14ac:dyDescent="0.2">
      <c r="A198" t="s">
        <v>7</v>
      </c>
      <c r="B198" t="s">
        <v>406</v>
      </c>
      <c r="C198" t="s">
        <v>407</v>
      </c>
      <c r="D198">
        <v>13</v>
      </c>
      <c r="E198" s="5">
        <v>42240.612893518519</v>
      </c>
      <c r="F198" t="s">
        <v>407</v>
      </c>
      <c r="G198" s="6">
        <v>0</v>
      </c>
    </row>
    <row r="199" spans="1:7" x14ac:dyDescent="0.2">
      <c r="A199" t="s">
        <v>7</v>
      </c>
      <c r="B199" t="s">
        <v>408</v>
      </c>
      <c r="C199" t="s">
        <v>409</v>
      </c>
      <c r="D199">
        <v>75</v>
      </c>
      <c r="E199" s="5">
        <v>42304.662060185183</v>
      </c>
      <c r="F199" t="s">
        <v>409</v>
      </c>
      <c r="G199" s="6">
        <v>0</v>
      </c>
    </row>
    <row r="200" spans="1:7" x14ac:dyDescent="0.2">
      <c r="A200" t="s">
        <v>7</v>
      </c>
      <c r="B200" t="s">
        <v>410</v>
      </c>
      <c r="C200" t="s">
        <v>411</v>
      </c>
      <c r="D200">
        <v>21</v>
      </c>
      <c r="E200" s="5">
        <v>42221.653275462966</v>
      </c>
      <c r="F200" t="s">
        <v>411</v>
      </c>
      <c r="G200" s="6">
        <v>0</v>
      </c>
    </row>
    <row r="201" spans="1:7" x14ac:dyDescent="0.2">
      <c r="A201" t="s">
        <v>7</v>
      </c>
      <c r="B201" t="s">
        <v>412</v>
      </c>
      <c r="C201" t="s">
        <v>413</v>
      </c>
      <c r="D201">
        <v>0</v>
      </c>
      <c r="E201" s="5">
        <v>42495.487928240742</v>
      </c>
      <c r="F201" t="s">
        <v>413</v>
      </c>
      <c r="G201" s="6">
        <v>0</v>
      </c>
    </row>
    <row r="202" spans="1:7" x14ac:dyDescent="0.2">
      <c r="A202" t="s">
        <v>7</v>
      </c>
      <c r="B202" t="s">
        <v>414</v>
      </c>
      <c r="C202" t="s">
        <v>415</v>
      </c>
      <c r="D202">
        <v>166903</v>
      </c>
      <c r="E202" s="5">
        <v>42600.751759259256</v>
      </c>
      <c r="F202" t="s">
        <v>415</v>
      </c>
      <c r="G202" s="6">
        <v>-8192</v>
      </c>
    </row>
    <row r="203" spans="1:7" x14ac:dyDescent="0.2">
      <c r="A203" t="s">
        <v>7</v>
      </c>
      <c r="B203" t="s">
        <v>416</v>
      </c>
      <c r="C203" t="s">
        <v>417</v>
      </c>
      <c r="D203">
        <v>447984</v>
      </c>
      <c r="E203" s="5">
        <v>42632.655462962961</v>
      </c>
      <c r="F203" t="s">
        <v>417</v>
      </c>
      <c r="G203" s="6">
        <v>0</v>
      </c>
    </row>
    <row r="204" spans="1:7" x14ac:dyDescent="0.2">
      <c r="A204" t="s">
        <v>7</v>
      </c>
      <c r="B204" t="s">
        <v>418</v>
      </c>
      <c r="C204" t="s">
        <v>419</v>
      </c>
      <c r="D204">
        <v>10227650</v>
      </c>
      <c r="E204" s="5">
        <v>42080.382361111115</v>
      </c>
      <c r="F204" t="s">
        <v>420</v>
      </c>
      <c r="G204" s="6">
        <v>-159334</v>
      </c>
    </row>
    <row r="205" spans="1:7" x14ac:dyDescent="0.2">
      <c r="A205" t="s">
        <v>7</v>
      </c>
      <c r="B205" t="s">
        <v>421</v>
      </c>
      <c r="C205" t="s">
        <v>419</v>
      </c>
      <c r="D205">
        <v>2420134</v>
      </c>
      <c r="E205" s="5">
        <v>42326.969444444447</v>
      </c>
      <c r="F205" t="s">
        <v>419</v>
      </c>
      <c r="G205" s="6">
        <v>0</v>
      </c>
    </row>
    <row r="206" spans="1:7" x14ac:dyDescent="0.2">
      <c r="A206" t="s">
        <v>7</v>
      </c>
      <c r="B206" t="s">
        <v>422</v>
      </c>
      <c r="C206" t="s">
        <v>419</v>
      </c>
      <c r="D206">
        <v>2625767</v>
      </c>
      <c r="E206" s="5">
        <v>42336.91443287037</v>
      </c>
      <c r="F206" t="s">
        <v>419</v>
      </c>
      <c r="G206" s="6">
        <v>0</v>
      </c>
    </row>
    <row r="207" spans="1:7" x14ac:dyDescent="0.2">
      <c r="A207" t="s">
        <v>7</v>
      </c>
      <c r="B207" t="s">
        <v>423</v>
      </c>
      <c r="C207" t="s">
        <v>38</v>
      </c>
      <c r="D207">
        <v>2</v>
      </c>
      <c r="E207" s="5">
        <v>42326.969444444447</v>
      </c>
      <c r="F207" t="s">
        <v>38</v>
      </c>
      <c r="G207" s="6">
        <v>0</v>
      </c>
    </row>
    <row r="208" spans="1:7" x14ac:dyDescent="0.2">
      <c r="A208" t="s">
        <v>7</v>
      </c>
      <c r="B208" t="s">
        <v>424</v>
      </c>
      <c r="C208" t="s">
        <v>38</v>
      </c>
      <c r="D208">
        <v>0</v>
      </c>
      <c r="E208" s="5">
        <v>42326.969444444447</v>
      </c>
      <c r="F208" t="s">
        <v>38</v>
      </c>
      <c r="G208" s="6">
        <v>0</v>
      </c>
    </row>
    <row r="209" spans="1:7" x14ac:dyDescent="0.2">
      <c r="A209" t="s">
        <v>7</v>
      </c>
      <c r="B209" t="s">
        <v>425</v>
      </c>
      <c r="C209" t="s">
        <v>426</v>
      </c>
      <c r="D209">
        <v>82324284</v>
      </c>
      <c r="E209" s="5">
        <v>42080.382361111115</v>
      </c>
      <c r="F209" t="s">
        <v>427</v>
      </c>
      <c r="G209" s="6">
        <v>497349</v>
      </c>
    </row>
    <row r="210" spans="1:7" x14ac:dyDescent="0.2">
      <c r="A210" t="s">
        <v>7</v>
      </c>
      <c r="B210" t="s">
        <v>428</v>
      </c>
      <c r="C210" t="s">
        <v>429</v>
      </c>
      <c r="D210">
        <v>200</v>
      </c>
      <c r="E210" s="5">
        <v>42156.182002314818</v>
      </c>
      <c r="F210" t="s">
        <v>429</v>
      </c>
      <c r="G210" s="6">
        <v>0</v>
      </c>
    </row>
    <row r="211" spans="1:7" x14ac:dyDescent="0.2">
      <c r="A211" t="s">
        <v>7</v>
      </c>
      <c r="B211" t="s">
        <v>430</v>
      </c>
      <c r="C211" t="s">
        <v>431</v>
      </c>
      <c r="D211">
        <v>557</v>
      </c>
      <c r="E211" s="5">
        <v>42156.182002314818</v>
      </c>
      <c r="F211" t="s">
        <v>431</v>
      </c>
      <c r="G211" s="6">
        <v>0</v>
      </c>
    </row>
    <row r="212" spans="1:7" x14ac:dyDescent="0.2">
      <c r="A212" t="s">
        <v>7</v>
      </c>
      <c r="B212" t="s">
        <v>432</v>
      </c>
      <c r="C212" t="s">
        <v>433</v>
      </c>
      <c r="D212">
        <v>7</v>
      </c>
      <c r="E212" s="5">
        <v>42156.182013888887</v>
      </c>
      <c r="F212" t="s">
        <v>433</v>
      </c>
      <c r="G212" s="6">
        <v>0</v>
      </c>
    </row>
    <row r="213" spans="1:7" x14ac:dyDescent="0.2">
      <c r="A213" t="s">
        <v>7</v>
      </c>
      <c r="B213" t="s">
        <v>434</v>
      </c>
      <c r="C213" t="s">
        <v>435</v>
      </c>
      <c r="D213">
        <v>4677</v>
      </c>
      <c r="E213" s="5">
        <v>42087.714513888888</v>
      </c>
      <c r="F213" t="s">
        <v>436</v>
      </c>
      <c r="G213" s="6">
        <v>-87</v>
      </c>
    </row>
    <row r="214" spans="1:7" x14ac:dyDescent="0.2">
      <c r="A214" t="s">
        <v>7</v>
      </c>
      <c r="B214" t="s">
        <v>437</v>
      </c>
      <c r="C214" t="s">
        <v>438</v>
      </c>
      <c r="D214">
        <v>36</v>
      </c>
      <c r="E214" s="5">
        <v>42352.881203703706</v>
      </c>
      <c r="F214" t="s">
        <v>438</v>
      </c>
      <c r="G214" s="6">
        <v>0</v>
      </c>
    </row>
    <row r="215" spans="1:7" x14ac:dyDescent="0.2">
      <c r="A215" t="s">
        <v>7</v>
      </c>
      <c r="B215" t="s">
        <v>439</v>
      </c>
      <c r="C215" t="s">
        <v>440</v>
      </c>
      <c r="D215">
        <v>12</v>
      </c>
      <c r="E215" s="5">
        <v>42080.382372685184</v>
      </c>
      <c r="F215" t="s">
        <v>441</v>
      </c>
      <c r="G215" s="6">
        <v>0</v>
      </c>
    </row>
    <row r="216" spans="1:7" x14ac:dyDescent="0.2">
      <c r="A216" t="s">
        <v>7</v>
      </c>
      <c r="B216" t="s">
        <v>442</v>
      </c>
      <c r="C216" t="s">
        <v>443</v>
      </c>
      <c r="D216">
        <v>10</v>
      </c>
      <c r="E216" s="5">
        <v>42156.182013888887</v>
      </c>
      <c r="F216" t="s">
        <v>443</v>
      </c>
      <c r="G216" s="6">
        <v>0</v>
      </c>
    </row>
    <row r="217" spans="1:7" x14ac:dyDescent="0.2">
      <c r="A217" t="s">
        <v>7</v>
      </c>
      <c r="B217" t="s">
        <v>444</v>
      </c>
      <c r="C217" t="s">
        <v>38</v>
      </c>
      <c r="D217">
        <v>1090</v>
      </c>
      <c r="E217" s="5">
        <v>42381.761747685188</v>
      </c>
      <c r="F217" t="s">
        <v>38</v>
      </c>
      <c r="G217" s="6">
        <v>0</v>
      </c>
    </row>
    <row r="218" spans="1:7" x14ac:dyDescent="0.2">
      <c r="A218" t="s">
        <v>7</v>
      </c>
      <c r="B218" t="s">
        <v>445</v>
      </c>
      <c r="C218" t="s">
        <v>446</v>
      </c>
      <c r="D218">
        <v>51</v>
      </c>
      <c r="E218" s="5">
        <v>42080.382372685184</v>
      </c>
      <c r="F218" t="s">
        <v>446</v>
      </c>
      <c r="G218" s="6">
        <v>0</v>
      </c>
    </row>
    <row r="219" spans="1:7" x14ac:dyDescent="0.2">
      <c r="A219" t="s">
        <v>7</v>
      </c>
      <c r="B219" t="s">
        <v>447</v>
      </c>
      <c r="C219" t="s">
        <v>38</v>
      </c>
      <c r="D219">
        <v>255</v>
      </c>
      <c r="E219" s="5">
        <v>42381.761747685188</v>
      </c>
      <c r="F219" t="s">
        <v>38</v>
      </c>
      <c r="G219" s="6">
        <v>-5</v>
      </c>
    </row>
    <row r="220" spans="1:7" x14ac:dyDescent="0.2">
      <c r="A220" t="s">
        <v>7</v>
      </c>
      <c r="B220" t="s">
        <v>448</v>
      </c>
      <c r="C220" t="s">
        <v>449</v>
      </c>
      <c r="D220">
        <v>57629</v>
      </c>
      <c r="E220" s="5">
        <v>42080.382372685184</v>
      </c>
      <c r="F220" t="s">
        <v>449</v>
      </c>
      <c r="G220" s="6">
        <v>-13</v>
      </c>
    </row>
    <row r="221" spans="1:7" x14ac:dyDescent="0.2">
      <c r="A221" t="s">
        <v>7</v>
      </c>
      <c r="B221" t="s">
        <v>450</v>
      </c>
      <c r="C221" t="s">
        <v>168</v>
      </c>
      <c r="D221">
        <v>36414</v>
      </c>
      <c r="E221" s="5">
        <v>42080.382372685184</v>
      </c>
      <c r="F221" t="s">
        <v>451</v>
      </c>
      <c r="G221" s="6">
        <v>0</v>
      </c>
    </row>
    <row r="222" spans="1:7" x14ac:dyDescent="0.2">
      <c r="A222" t="s">
        <v>7</v>
      </c>
      <c r="B222" t="s">
        <v>452</v>
      </c>
      <c r="C222" t="s">
        <v>453</v>
      </c>
      <c r="D222">
        <v>1</v>
      </c>
      <c r="E222" s="5">
        <v>42080.382372685184</v>
      </c>
      <c r="F222" t="s">
        <v>454</v>
      </c>
      <c r="G222" s="6">
        <v>0</v>
      </c>
    </row>
    <row r="223" spans="1:7" x14ac:dyDescent="0.2">
      <c r="A223" t="s">
        <v>7</v>
      </c>
      <c r="B223" t="s">
        <v>455</v>
      </c>
      <c r="C223" t="s">
        <v>456</v>
      </c>
      <c r="D223">
        <v>773963</v>
      </c>
      <c r="E223" s="5">
        <v>42080.382372685184</v>
      </c>
      <c r="F223" t="s">
        <v>457</v>
      </c>
      <c r="G223" s="6">
        <v>-358</v>
      </c>
    </row>
    <row r="224" spans="1:7" x14ac:dyDescent="0.2">
      <c r="A224" t="s">
        <v>7</v>
      </c>
      <c r="B224" t="s">
        <v>458</v>
      </c>
      <c r="C224" t="s">
        <v>38</v>
      </c>
      <c r="D224">
        <v>145</v>
      </c>
      <c r="E224" s="5">
        <v>42212.651076388887</v>
      </c>
      <c r="F224" t="s">
        <v>38</v>
      </c>
      <c r="G224" s="6">
        <v>0</v>
      </c>
    </row>
    <row r="225" spans="1:7" x14ac:dyDescent="0.2">
      <c r="A225" t="s">
        <v>7</v>
      </c>
      <c r="B225" t="s">
        <v>459</v>
      </c>
      <c r="C225" t="s">
        <v>460</v>
      </c>
      <c r="D225">
        <v>159788</v>
      </c>
      <c r="E225" s="5">
        <v>42080.382372685184</v>
      </c>
      <c r="F225" t="s">
        <v>461</v>
      </c>
      <c r="G225" s="6">
        <v>-357</v>
      </c>
    </row>
    <row r="226" spans="1:7" x14ac:dyDescent="0.2">
      <c r="A226" t="s">
        <v>7</v>
      </c>
      <c r="B226" t="s">
        <v>462</v>
      </c>
      <c r="C226" t="s">
        <v>463</v>
      </c>
      <c r="D226">
        <v>152</v>
      </c>
      <c r="E226" s="5">
        <v>42269.809270833335</v>
      </c>
      <c r="F226" t="s">
        <v>463</v>
      </c>
      <c r="G226" s="6">
        <v>0</v>
      </c>
    </row>
    <row r="227" spans="1:7" x14ac:dyDescent="0.2">
      <c r="A227" t="s">
        <v>7</v>
      </c>
      <c r="B227" t="s">
        <v>464</v>
      </c>
      <c r="C227" t="s">
        <v>465</v>
      </c>
      <c r="D227">
        <v>330450</v>
      </c>
      <c r="E227" s="5">
        <v>42451.829039351855</v>
      </c>
      <c r="F227" t="s">
        <v>465</v>
      </c>
      <c r="G227" s="6">
        <v>0</v>
      </c>
    </row>
    <row r="228" spans="1:7" x14ac:dyDescent="0.2">
      <c r="A228" t="s">
        <v>7</v>
      </c>
      <c r="B228" t="s">
        <v>466</v>
      </c>
      <c r="C228" t="s">
        <v>467</v>
      </c>
      <c r="D228">
        <v>396</v>
      </c>
      <c r="E228" s="5">
        <v>42080.382384259261</v>
      </c>
      <c r="F228" t="s">
        <v>468</v>
      </c>
      <c r="G228" s="6">
        <v>0</v>
      </c>
    </row>
    <row r="229" spans="1:7" x14ac:dyDescent="0.2">
      <c r="A229" t="s">
        <v>7</v>
      </c>
      <c r="B229" t="s">
        <v>469</v>
      </c>
      <c r="C229" t="s">
        <v>470</v>
      </c>
      <c r="D229">
        <v>73</v>
      </c>
      <c r="E229" s="5">
        <v>42080.382384259261</v>
      </c>
      <c r="F229" t="s">
        <v>471</v>
      </c>
      <c r="G229" s="6">
        <v>0</v>
      </c>
    </row>
    <row r="230" spans="1:7" x14ac:dyDescent="0.2">
      <c r="A230" t="s">
        <v>7</v>
      </c>
      <c r="B230" t="s">
        <v>472</v>
      </c>
      <c r="C230" t="s">
        <v>473</v>
      </c>
      <c r="D230">
        <v>531</v>
      </c>
      <c r="E230" s="5">
        <v>42348.610671296294</v>
      </c>
      <c r="F230" t="s">
        <v>473</v>
      </c>
      <c r="G230" s="6">
        <v>0</v>
      </c>
    </row>
    <row r="231" spans="1:7" x14ac:dyDescent="0.2">
      <c r="A231" t="s">
        <v>7</v>
      </c>
      <c r="B231" t="s">
        <v>474</v>
      </c>
      <c r="C231" t="s">
        <v>38</v>
      </c>
      <c r="D231">
        <v>19</v>
      </c>
      <c r="E231" s="5">
        <v>42641.5859837963</v>
      </c>
      <c r="F231" t="s">
        <v>38</v>
      </c>
      <c r="G231" s="6">
        <v>-1</v>
      </c>
    </row>
    <row r="232" spans="1:7" x14ac:dyDescent="0.2">
      <c r="A232" t="s">
        <v>7</v>
      </c>
      <c r="B232" t="s">
        <v>475</v>
      </c>
      <c r="C232" t="s">
        <v>476</v>
      </c>
      <c r="D232">
        <v>41524</v>
      </c>
      <c r="E232" s="5">
        <v>42641.5859837963</v>
      </c>
      <c r="F232" t="s">
        <v>476</v>
      </c>
      <c r="G232" s="6">
        <v>11436</v>
      </c>
    </row>
    <row r="233" spans="1:7" x14ac:dyDescent="0.2">
      <c r="A233" t="s">
        <v>7</v>
      </c>
      <c r="B233" t="s">
        <v>477</v>
      </c>
      <c r="C233" t="s">
        <v>478</v>
      </c>
      <c r="D233">
        <v>15719</v>
      </c>
      <c r="E233" s="5">
        <v>42641.5859837963</v>
      </c>
      <c r="F233" t="s">
        <v>478</v>
      </c>
      <c r="G233" s="6">
        <v>7038</v>
      </c>
    </row>
    <row r="234" spans="1:7" x14ac:dyDescent="0.2">
      <c r="A234" t="s">
        <v>7</v>
      </c>
      <c r="B234" t="s">
        <v>479</v>
      </c>
      <c r="C234" t="s">
        <v>480</v>
      </c>
      <c r="D234">
        <v>129975</v>
      </c>
      <c r="E234" s="5">
        <v>42641.5859837963</v>
      </c>
      <c r="F234" t="s">
        <v>480</v>
      </c>
      <c r="G234" s="6">
        <v>35765</v>
      </c>
    </row>
    <row r="235" spans="1:7" x14ac:dyDescent="0.2">
      <c r="A235" t="s">
        <v>7</v>
      </c>
      <c r="B235" t="s">
        <v>481</v>
      </c>
      <c r="C235" t="s">
        <v>482</v>
      </c>
      <c r="D235">
        <v>289</v>
      </c>
      <c r="E235" s="5">
        <v>42641.5859837963</v>
      </c>
      <c r="F235" t="s">
        <v>482</v>
      </c>
      <c r="G235" s="6">
        <v>86</v>
      </c>
    </row>
    <row r="236" spans="1:7" x14ac:dyDescent="0.2">
      <c r="A236" t="s">
        <v>7</v>
      </c>
      <c r="B236" t="s">
        <v>483</v>
      </c>
      <c r="C236" t="s">
        <v>484</v>
      </c>
      <c r="D236">
        <v>0</v>
      </c>
      <c r="E236" s="5">
        <v>42620.439074074071</v>
      </c>
      <c r="F236" t="s">
        <v>484</v>
      </c>
      <c r="G236" s="6">
        <v>0</v>
      </c>
    </row>
    <row r="237" spans="1:7" x14ac:dyDescent="0.2">
      <c r="A237" t="s">
        <v>7</v>
      </c>
      <c r="B237" t="s">
        <v>485</v>
      </c>
      <c r="C237" t="s">
        <v>486</v>
      </c>
      <c r="D237">
        <v>19</v>
      </c>
      <c r="E237" s="5">
        <v>42620.439062500001</v>
      </c>
      <c r="F237" t="s">
        <v>486</v>
      </c>
      <c r="G237" s="6">
        <v>-2</v>
      </c>
    </row>
    <row r="238" spans="1:7" x14ac:dyDescent="0.2">
      <c r="A238" t="s">
        <v>7</v>
      </c>
      <c r="B238" t="s">
        <v>487</v>
      </c>
      <c r="C238" t="s">
        <v>488</v>
      </c>
      <c r="D238">
        <v>12030794</v>
      </c>
      <c r="E238" s="5">
        <v>42080.382384259261</v>
      </c>
      <c r="F238" t="s">
        <v>489</v>
      </c>
      <c r="G238" s="6">
        <v>-184731</v>
      </c>
    </row>
    <row r="239" spans="1:7" x14ac:dyDescent="0.2">
      <c r="A239" t="s">
        <v>7</v>
      </c>
      <c r="B239" t="s">
        <v>490</v>
      </c>
      <c r="C239" t="s">
        <v>491</v>
      </c>
      <c r="D239">
        <v>33851963</v>
      </c>
      <c r="E239" s="5">
        <v>42080.382384259261</v>
      </c>
      <c r="F239" t="s">
        <v>492</v>
      </c>
      <c r="G239" s="6">
        <v>-668575</v>
      </c>
    </row>
    <row r="240" spans="1:7" x14ac:dyDescent="0.2">
      <c r="A240" t="s">
        <v>7</v>
      </c>
      <c r="B240" t="s">
        <v>493</v>
      </c>
      <c r="C240" t="s">
        <v>494</v>
      </c>
      <c r="D240">
        <v>2074</v>
      </c>
      <c r="E240" s="5">
        <v>42352.881354166668</v>
      </c>
      <c r="F240" t="s">
        <v>494</v>
      </c>
      <c r="G240" s="6">
        <v>-18</v>
      </c>
    </row>
    <row r="241" spans="1:7" x14ac:dyDescent="0.2">
      <c r="A241" t="s">
        <v>7</v>
      </c>
      <c r="B241" t="s">
        <v>495</v>
      </c>
      <c r="C241" t="s">
        <v>496</v>
      </c>
      <c r="D241">
        <v>35</v>
      </c>
      <c r="E241" s="5">
        <v>42080.382384259261</v>
      </c>
      <c r="F241" t="s">
        <v>497</v>
      </c>
      <c r="G241" s="6">
        <v>0</v>
      </c>
    </row>
    <row r="242" spans="1:7" x14ac:dyDescent="0.2">
      <c r="A242" t="s">
        <v>7</v>
      </c>
      <c r="B242" t="s">
        <v>498</v>
      </c>
      <c r="C242" t="s">
        <v>499</v>
      </c>
      <c r="D242">
        <v>6</v>
      </c>
      <c r="E242" s="5">
        <v>42169.408391203702</v>
      </c>
      <c r="F242" t="s">
        <v>499</v>
      </c>
      <c r="G242" s="6">
        <v>0</v>
      </c>
    </row>
    <row r="243" spans="1:7" x14ac:dyDescent="0.2">
      <c r="A243" t="s">
        <v>7</v>
      </c>
      <c r="B243" t="s">
        <v>500</v>
      </c>
      <c r="C243" t="s">
        <v>501</v>
      </c>
      <c r="D243">
        <v>50320304</v>
      </c>
      <c r="E243" s="5">
        <v>42337.995057870372</v>
      </c>
      <c r="F243" t="s">
        <v>501</v>
      </c>
      <c r="G243" s="6">
        <v>-1029141</v>
      </c>
    </row>
    <row r="244" spans="1:7" x14ac:dyDescent="0.2">
      <c r="A244" t="s">
        <v>7</v>
      </c>
      <c r="B244" t="s">
        <v>502</v>
      </c>
      <c r="C244" t="s">
        <v>503</v>
      </c>
      <c r="D244">
        <v>21359474</v>
      </c>
      <c r="E244" s="5">
        <v>42584.6328587963</v>
      </c>
      <c r="F244" t="s">
        <v>503</v>
      </c>
      <c r="G244" s="6">
        <v>-1023838</v>
      </c>
    </row>
    <row r="245" spans="1:7" x14ac:dyDescent="0.2">
      <c r="A245" t="s">
        <v>7</v>
      </c>
      <c r="B245" t="s">
        <v>504</v>
      </c>
      <c r="C245" t="s">
        <v>505</v>
      </c>
      <c r="D245">
        <v>598141</v>
      </c>
      <c r="E245" s="5">
        <v>42326.969444444447</v>
      </c>
      <c r="F245" t="s">
        <v>505</v>
      </c>
      <c r="G245" s="6">
        <v>-5320</v>
      </c>
    </row>
    <row r="246" spans="1:7" x14ac:dyDescent="0.2">
      <c r="A246" t="s">
        <v>7</v>
      </c>
      <c r="B246" t="s">
        <v>506</v>
      </c>
      <c r="C246" t="s">
        <v>507</v>
      </c>
      <c r="D246">
        <v>297049</v>
      </c>
      <c r="E246" s="5">
        <v>42632.735381944447</v>
      </c>
      <c r="F246" t="s">
        <v>507</v>
      </c>
      <c r="G246" s="6">
        <v>0</v>
      </c>
    </row>
    <row r="247" spans="1:7" x14ac:dyDescent="0.2">
      <c r="A247" t="s">
        <v>7</v>
      </c>
      <c r="B247" t="s">
        <v>508</v>
      </c>
      <c r="C247" t="s">
        <v>38</v>
      </c>
      <c r="D247">
        <v>1003</v>
      </c>
      <c r="E247" s="5">
        <v>42145.576053240744</v>
      </c>
      <c r="F247" t="s">
        <v>38</v>
      </c>
      <c r="G247" s="6">
        <v>0</v>
      </c>
    </row>
    <row r="248" spans="1:7" x14ac:dyDescent="0.2">
      <c r="A248" t="s">
        <v>7</v>
      </c>
      <c r="B248" t="s">
        <v>509</v>
      </c>
      <c r="C248" t="s">
        <v>510</v>
      </c>
      <c r="D248">
        <v>27126</v>
      </c>
      <c r="E248" s="5">
        <v>42389.640393518515</v>
      </c>
      <c r="F248" t="s">
        <v>510</v>
      </c>
      <c r="G248" s="6">
        <v>0</v>
      </c>
    </row>
    <row r="249" spans="1:7" x14ac:dyDescent="0.2">
      <c r="A249" t="s">
        <v>7</v>
      </c>
      <c r="B249" t="s">
        <v>511</v>
      </c>
      <c r="C249" t="s">
        <v>512</v>
      </c>
      <c r="D249">
        <v>0</v>
      </c>
      <c r="E249" s="5">
        <v>42156.182256944441</v>
      </c>
      <c r="F249" t="s">
        <v>512</v>
      </c>
      <c r="G249" s="6">
        <v>0</v>
      </c>
    </row>
    <row r="250" spans="1:7" x14ac:dyDescent="0.2">
      <c r="A250" t="s">
        <v>7</v>
      </c>
      <c r="B250" t="s">
        <v>513</v>
      </c>
      <c r="C250" t="s">
        <v>38</v>
      </c>
      <c r="D250">
        <v>4</v>
      </c>
      <c r="E250" s="5">
        <v>42620.778113425928</v>
      </c>
      <c r="F250" t="s">
        <v>38</v>
      </c>
      <c r="G250" s="6">
        <v>0</v>
      </c>
    </row>
    <row r="251" spans="1:7" x14ac:dyDescent="0.2">
      <c r="A251" t="s">
        <v>7</v>
      </c>
      <c r="B251" t="s">
        <v>514</v>
      </c>
      <c r="C251" t="s">
        <v>515</v>
      </c>
      <c r="D251">
        <v>0</v>
      </c>
      <c r="E251" s="5">
        <v>42156.182256944441</v>
      </c>
      <c r="F251" t="s">
        <v>515</v>
      </c>
      <c r="G251" s="6">
        <v>0</v>
      </c>
    </row>
    <row r="252" spans="1:7" x14ac:dyDescent="0.2">
      <c r="A252" t="s">
        <v>7</v>
      </c>
      <c r="B252" t="s">
        <v>516</v>
      </c>
      <c r="C252" t="s">
        <v>517</v>
      </c>
      <c r="D252">
        <v>33</v>
      </c>
      <c r="E252" s="5">
        <v>42156.182256944441</v>
      </c>
      <c r="F252" t="s">
        <v>517</v>
      </c>
      <c r="G252" s="6">
        <v>0</v>
      </c>
    </row>
    <row r="253" spans="1:7" x14ac:dyDescent="0.2">
      <c r="A253" t="s">
        <v>7</v>
      </c>
      <c r="B253" t="s">
        <v>518</v>
      </c>
      <c r="C253" t="s">
        <v>519</v>
      </c>
      <c r="D253">
        <v>266</v>
      </c>
      <c r="E253" s="5">
        <v>42178.71980324074</v>
      </c>
      <c r="F253" t="s">
        <v>519</v>
      </c>
      <c r="G253" s="6">
        <v>20</v>
      </c>
    </row>
    <row r="254" spans="1:7" x14ac:dyDescent="0.2">
      <c r="A254" t="s">
        <v>7</v>
      </c>
      <c r="B254" t="s">
        <v>520</v>
      </c>
      <c r="C254" t="s">
        <v>521</v>
      </c>
      <c r="D254">
        <v>16</v>
      </c>
      <c r="E254" s="5">
        <v>42171.620266203703</v>
      </c>
      <c r="F254" t="s">
        <v>521</v>
      </c>
      <c r="G254" s="6">
        <v>0</v>
      </c>
    </row>
    <row r="255" spans="1:7" x14ac:dyDescent="0.2">
      <c r="A255" t="s">
        <v>7</v>
      </c>
      <c r="B255" t="s">
        <v>522</v>
      </c>
      <c r="C255" t="s">
        <v>523</v>
      </c>
      <c r="D255">
        <v>733599</v>
      </c>
      <c r="E255" s="5">
        <v>42171.620266203703</v>
      </c>
      <c r="F255" t="s">
        <v>523</v>
      </c>
      <c r="G255" s="6">
        <v>-1622</v>
      </c>
    </row>
    <row r="256" spans="1:7" x14ac:dyDescent="0.2">
      <c r="A256" t="s">
        <v>7</v>
      </c>
      <c r="B256" t="s">
        <v>524</v>
      </c>
      <c r="C256" t="s">
        <v>38</v>
      </c>
      <c r="D256">
        <v>0</v>
      </c>
      <c r="E256" s="5">
        <v>42199.746944444443</v>
      </c>
      <c r="F256" t="s">
        <v>38</v>
      </c>
      <c r="G256" s="6">
        <v>0</v>
      </c>
    </row>
    <row r="257" spans="1:7" x14ac:dyDescent="0.2">
      <c r="A257" t="s">
        <v>7</v>
      </c>
      <c r="B257" t="s">
        <v>525</v>
      </c>
      <c r="C257" t="s">
        <v>526</v>
      </c>
      <c r="D257">
        <v>3</v>
      </c>
      <c r="E257" s="5">
        <v>42527.803425925929</v>
      </c>
      <c r="F257" t="s">
        <v>526</v>
      </c>
      <c r="G257" s="6">
        <v>0</v>
      </c>
    </row>
    <row r="258" spans="1:7" x14ac:dyDescent="0.2">
      <c r="A258" t="s">
        <v>7</v>
      </c>
      <c r="B258" t="s">
        <v>527</v>
      </c>
      <c r="C258" t="s">
        <v>38</v>
      </c>
      <c r="D258">
        <v>35550</v>
      </c>
      <c r="E258" s="5">
        <v>42593.65896990741</v>
      </c>
      <c r="F258" t="s">
        <v>38</v>
      </c>
      <c r="G258" s="6">
        <v>-3036</v>
      </c>
    </row>
    <row r="259" spans="1:7" x14ac:dyDescent="0.2">
      <c r="A259" t="s">
        <v>7</v>
      </c>
      <c r="B259" t="s">
        <v>528</v>
      </c>
      <c r="C259" t="s">
        <v>38</v>
      </c>
      <c r="D259">
        <v>17032</v>
      </c>
      <c r="E259" s="5">
        <v>42593.65896990741</v>
      </c>
      <c r="F259" t="s">
        <v>38</v>
      </c>
      <c r="G259" s="6">
        <v>-991</v>
      </c>
    </row>
    <row r="260" spans="1:7" x14ac:dyDescent="0.2">
      <c r="A260" t="s">
        <v>7</v>
      </c>
      <c r="B260" t="s">
        <v>529</v>
      </c>
      <c r="C260" t="s">
        <v>530</v>
      </c>
      <c r="D260">
        <v>1072552</v>
      </c>
      <c r="E260" s="5">
        <v>42080.382453703707</v>
      </c>
      <c r="F260" t="s">
        <v>531</v>
      </c>
      <c r="G260" s="6">
        <v>-17114</v>
      </c>
    </row>
    <row r="261" spans="1:7" x14ac:dyDescent="0.2">
      <c r="A261" t="s">
        <v>7</v>
      </c>
      <c r="B261" t="s">
        <v>532</v>
      </c>
      <c r="C261" t="s">
        <v>533</v>
      </c>
      <c r="D261">
        <v>632468</v>
      </c>
      <c r="E261" s="5">
        <v>42508.598877314813</v>
      </c>
      <c r="F261" t="s">
        <v>533</v>
      </c>
      <c r="G261" s="6">
        <v>-36787</v>
      </c>
    </row>
    <row r="262" spans="1:7" x14ac:dyDescent="0.2">
      <c r="A262" t="s">
        <v>7</v>
      </c>
      <c r="B262" t="s">
        <v>534</v>
      </c>
      <c r="C262" t="s">
        <v>535</v>
      </c>
      <c r="D262">
        <v>1010980</v>
      </c>
      <c r="E262" s="5">
        <v>42156.18236111111</v>
      </c>
      <c r="F262" t="s">
        <v>535</v>
      </c>
      <c r="G262" s="6">
        <v>-10590</v>
      </c>
    </row>
    <row r="263" spans="1:7" x14ac:dyDescent="0.2">
      <c r="A263" t="s">
        <v>7</v>
      </c>
      <c r="B263" t="s">
        <v>536</v>
      </c>
      <c r="C263" t="s">
        <v>537</v>
      </c>
      <c r="D263">
        <v>116</v>
      </c>
      <c r="E263" s="5">
        <v>42632.735381944447</v>
      </c>
      <c r="F263" t="s">
        <v>537</v>
      </c>
      <c r="G263" s="6">
        <v>0</v>
      </c>
    </row>
    <row r="264" spans="1:7" x14ac:dyDescent="0.2">
      <c r="A264" t="s">
        <v>7</v>
      </c>
      <c r="B264" t="s">
        <v>538</v>
      </c>
      <c r="C264" t="s">
        <v>539</v>
      </c>
      <c r="D264">
        <v>217</v>
      </c>
      <c r="E264" s="5">
        <v>42626.627430555556</v>
      </c>
      <c r="F264" t="s">
        <v>539</v>
      </c>
      <c r="G264" s="6">
        <v>-14</v>
      </c>
    </row>
    <row r="265" spans="1:7" x14ac:dyDescent="0.2">
      <c r="A265" t="s">
        <v>7</v>
      </c>
      <c r="B265" t="s">
        <v>540</v>
      </c>
      <c r="C265" t="s">
        <v>541</v>
      </c>
      <c r="D265">
        <v>3573231</v>
      </c>
      <c r="E265" s="5">
        <v>42207.675162037034</v>
      </c>
      <c r="F265" t="s">
        <v>541</v>
      </c>
      <c r="G265" s="6">
        <v>-43113</v>
      </c>
    </row>
    <row r="266" spans="1:7" x14ac:dyDescent="0.2">
      <c r="A266" t="s">
        <v>7</v>
      </c>
      <c r="B266" t="s">
        <v>542</v>
      </c>
      <c r="C266" t="s">
        <v>543</v>
      </c>
      <c r="D266">
        <v>13</v>
      </c>
      <c r="E266" s="5">
        <v>42080.382453703707</v>
      </c>
      <c r="F266" t="s">
        <v>543</v>
      </c>
      <c r="G266" s="6">
        <v>0</v>
      </c>
    </row>
    <row r="267" spans="1:7" x14ac:dyDescent="0.2">
      <c r="A267" t="s">
        <v>7</v>
      </c>
      <c r="B267" t="s">
        <v>544</v>
      </c>
      <c r="C267" t="s">
        <v>545</v>
      </c>
      <c r="D267">
        <v>372</v>
      </c>
      <c r="E267" s="5">
        <v>42213.774108796293</v>
      </c>
      <c r="F267" t="s">
        <v>545</v>
      </c>
      <c r="G267" s="6">
        <v>0</v>
      </c>
    </row>
    <row r="268" spans="1:7" x14ac:dyDescent="0.2">
      <c r="A268" t="s">
        <v>7</v>
      </c>
      <c r="B268" t="s">
        <v>546</v>
      </c>
      <c r="C268" t="s">
        <v>545</v>
      </c>
      <c r="D268">
        <v>0</v>
      </c>
      <c r="E268" s="5">
        <v>42156.18236111111</v>
      </c>
      <c r="F268" t="s">
        <v>545</v>
      </c>
      <c r="G268" s="6">
        <v>0</v>
      </c>
    </row>
    <row r="269" spans="1:7" x14ac:dyDescent="0.2">
      <c r="A269" t="s">
        <v>7</v>
      </c>
      <c r="B269" t="s">
        <v>547</v>
      </c>
      <c r="C269" t="s">
        <v>548</v>
      </c>
      <c r="D269">
        <v>0</v>
      </c>
      <c r="E269" s="5">
        <v>42638.855567129627</v>
      </c>
      <c r="F269" t="s">
        <v>548</v>
      </c>
      <c r="G269" s="6">
        <v>0</v>
      </c>
    </row>
    <row r="270" spans="1:7" x14ac:dyDescent="0.2">
      <c r="A270" t="s">
        <v>7</v>
      </c>
      <c r="B270" t="s">
        <v>549</v>
      </c>
      <c r="C270" t="s">
        <v>550</v>
      </c>
      <c r="D270">
        <v>0</v>
      </c>
      <c r="E270" s="5">
        <v>42638.855567129627</v>
      </c>
      <c r="F270" t="s">
        <v>550</v>
      </c>
      <c r="G270" s="6">
        <v>0</v>
      </c>
    </row>
    <row r="271" spans="1:7" x14ac:dyDescent="0.2">
      <c r="A271" t="s">
        <v>7</v>
      </c>
      <c r="B271" t="s">
        <v>551</v>
      </c>
      <c r="C271" t="s">
        <v>248</v>
      </c>
      <c r="D271">
        <v>0</v>
      </c>
      <c r="E271" s="5">
        <v>42638.855567129627</v>
      </c>
      <c r="F271" t="s">
        <v>248</v>
      </c>
      <c r="G271" s="6">
        <v>0</v>
      </c>
    </row>
    <row r="272" spans="1:7" x14ac:dyDescent="0.2">
      <c r="A272" t="s">
        <v>7</v>
      </c>
      <c r="B272" t="s">
        <v>552</v>
      </c>
      <c r="C272" t="s">
        <v>392</v>
      </c>
      <c r="D272">
        <v>0</v>
      </c>
      <c r="E272" s="5">
        <v>42638.855567129627</v>
      </c>
      <c r="F272" t="s">
        <v>392</v>
      </c>
      <c r="G272" s="6">
        <v>0</v>
      </c>
    </row>
    <row r="273" spans="1:7" x14ac:dyDescent="0.2">
      <c r="A273" t="s">
        <v>7</v>
      </c>
      <c r="B273" t="s">
        <v>553</v>
      </c>
      <c r="C273" t="s">
        <v>554</v>
      </c>
      <c r="D273">
        <v>0</v>
      </c>
      <c r="E273" s="5">
        <v>42638.855578703704</v>
      </c>
      <c r="F273" t="s">
        <v>554</v>
      </c>
      <c r="G273" s="6">
        <v>0</v>
      </c>
    </row>
    <row r="274" spans="1:7" x14ac:dyDescent="0.2">
      <c r="A274" t="s">
        <v>7</v>
      </c>
      <c r="B274" t="s">
        <v>555</v>
      </c>
      <c r="C274" t="s">
        <v>556</v>
      </c>
      <c r="D274">
        <v>0</v>
      </c>
      <c r="E274" s="5">
        <v>42638.855578703704</v>
      </c>
      <c r="F274" t="s">
        <v>556</v>
      </c>
      <c r="G274" s="6">
        <v>0</v>
      </c>
    </row>
    <row r="275" spans="1:7" x14ac:dyDescent="0.2">
      <c r="A275" t="s">
        <v>7</v>
      </c>
      <c r="B275" t="s">
        <v>557</v>
      </c>
      <c r="C275" t="s">
        <v>558</v>
      </c>
      <c r="D275">
        <v>0</v>
      </c>
      <c r="E275" s="5">
        <v>42638.855578703704</v>
      </c>
      <c r="F275" t="s">
        <v>558</v>
      </c>
      <c r="G275" s="6">
        <v>0</v>
      </c>
    </row>
    <row r="276" spans="1:7" x14ac:dyDescent="0.2">
      <c r="A276" t="s">
        <v>7</v>
      </c>
      <c r="B276" t="s">
        <v>559</v>
      </c>
      <c r="C276" t="s">
        <v>560</v>
      </c>
      <c r="D276">
        <v>4774</v>
      </c>
      <c r="E276" s="5">
        <v>42638.855578703704</v>
      </c>
      <c r="F276" t="s">
        <v>560</v>
      </c>
      <c r="G276" s="6">
        <v>-57</v>
      </c>
    </row>
    <row r="277" spans="1:7" x14ac:dyDescent="0.2">
      <c r="A277" t="s">
        <v>7</v>
      </c>
      <c r="B277" t="s">
        <v>561</v>
      </c>
      <c r="C277" t="s">
        <v>562</v>
      </c>
      <c r="D277">
        <v>0</v>
      </c>
      <c r="E277" s="5">
        <v>42638.855578703704</v>
      </c>
      <c r="F277" t="s">
        <v>562</v>
      </c>
      <c r="G277" s="6">
        <v>0</v>
      </c>
    </row>
    <row r="278" spans="1:7" x14ac:dyDescent="0.2">
      <c r="A278" t="s">
        <v>7</v>
      </c>
      <c r="B278" t="s">
        <v>563</v>
      </c>
      <c r="C278" t="s">
        <v>564</v>
      </c>
      <c r="D278">
        <v>0</v>
      </c>
      <c r="E278" s="5">
        <v>42638.855578703704</v>
      </c>
      <c r="F278" t="s">
        <v>564</v>
      </c>
      <c r="G278" s="6">
        <v>0</v>
      </c>
    </row>
    <row r="279" spans="1:7" x14ac:dyDescent="0.2">
      <c r="A279" t="s">
        <v>7</v>
      </c>
      <c r="B279" t="s">
        <v>565</v>
      </c>
      <c r="C279" t="s">
        <v>566</v>
      </c>
      <c r="D279">
        <v>0</v>
      </c>
      <c r="E279" s="5">
        <v>42638.855578703704</v>
      </c>
      <c r="F279" t="s">
        <v>566</v>
      </c>
      <c r="G279" s="6">
        <v>0</v>
      </c>
    </row>
    <row r="280" spans="1:7" x14ac:dyDescent="0.2">
      <c r="A280" t="s">
        <v>7</v>
      </c>
      <c r="B280" t="s">
        <v>567</v>
      </c>
      <c r="C280" t="s">
        <v>568</v>
      </c>
      <c r="D280">
        <v>0</v>
      </c>
      <c r="E280" s="5">
        <v>42638.855578703704</v>
      </c>
      <c r="F280" t="s">
        <v>568</v>
      </c>
      <c r="G280" s="6">
        <v>0</v>
      </c>
    </row>
    <row r="281" spans="1:7" x14ac:dyDescent="0.2">
      <c r="A281" t="s">
        <v>7</v>
      </c>
      <c r="B281" t="s">
        <v>569</v>
      </c>
      <c r="C281" t="s">
        <v>570</v>
      </c>
      <c r="D281">
        <v>0</v>
      </c>
      <c r="E281" s="5">
        <v>42638.855578703704</v>
      </c>
      <c r="F281" t="s">
        <v>570</v>
      </c>
      <c r="G281" s="6">
        <v>0</v>
      </c>
    </row>
    <row r="282" spans="1:7" x14ac:dyDescent="0.2">
      <c r="A282" t="s">
        <v>7</v>
      </c>
      <c r="B282" t="s">
        <v>571</v>
      </c>
      <c r="C282" t="s">
        <v>572</v>
      </c>
      <c r="D282">
        <v>0</v>
      </c>
      <c r="E282" s="5">
        <v>42638.855578703704</v>
      </c>
      <c r="F282" t="s">
        <v>572</v>
      </c>
      <c r="G282" s="6">
        <v>0</v>
      </c>
    </row>
    <row r="283" spans="1:7" x14ac:dyDescent="0.2">
      <c r="A283" t="s">
        <v>7</v>
      </c>
      <c r="B283" t="s">
        <v>573</v>
      </c>
      <c r="C283" t="s">
        <v>574</v>
      </c>
      <c r="D283">
        <v>0</v>
      </c>
      <c r="E283" s="5">
        <v>42638.855578703704</v>
      </c>
      <c r="F283" t="s">
        <v>574</v>
      </c>
      <c r="G283" s="6">
        <v>0</v>
      </c>
    </row>
    <row r="284" spans="1:7" x14ac:dyDescent="0.2">
      <c r="A284" t="s">
        <v>7</v>
      </c>
      <c r="B284" t="s">
        <v>575</v>
      </c>
      <c r="C284" t="s">
        <v>576</v>
      </c>
      <c r="D284">
        <v>0</v>
      </c>
      <c r="E284" s="5">
        <v>42638.855578703704</v>
      </c>
      <c r="F284" t="s">
        <v>576</v>
      </c>
      <c r="G284" s="6">
        <v>0</v>
      </c>
    </row>
    <row r="285" spans="1:7" x14ac:dyDescent="0.2">
      <c r="A285" t="s">
        <v>7</v>
      </c>
      <c r="B285" t="s">
        <v>577</v>
      </c>
      <c r="C285" t="s">
        <v>578</v>
      </c>
      <c r="D285">
        <v>0</v>
      </c>
      <c r="E285" s="5">
        <v>42638.855578703704</v>
      </c>
      <c r="F285" t="s">
        <v>578</v>
      </c>
      <c r="G285" s="6">
        <v>0</v>
      </c>
    </row>
    <row r="286" spans="1:7" x14ac:dyDescent="0.2">
      <c r="A286" t="s">
        <v>7</v>
      </c>
      <c r="B286" t="s">
        <v>579</v>
      </c>
      <c r="C286" t="s">
        <v>580</v>
      </c>
      <c r="D286">
        <v>0</v>
      </c>
      <c r="E286" s="5">
        <v>42638.855578703704</v>
      </c>
      <c r="F286" t="s">
        <v>580</v>
      </c>
      <c r="G286" s="6">
        <v>0</v>
      </c>
    </row>
    <row r="287" spans="1:7" x14ac:dyDescent="0.2">
      <c r="A287" t="s">
        <v>7</v>
      </c>
      <c r="B287" t="s">
        <v>581</v>
      </c>
      <c r="C287" t="s">
        <v>582</v>
      </c>
      <c r="D287">
        <v>0</v>
      </c>
      <c r="E287" s="5">
        <v>42638.855578703704</v>
      </c>
      <c r="F287" t="s">
        <v>582</v>
      </c>
      <c r="G287" s="6">
        <v>0</v>
      </c>
    </row>
    <row r="288" spans="1:7" x14ac:dyDescent="0.2">
      <c r="A288" t="s">
        <v>7</v>
      </c>
      <c r="B288" t="s">
        <v>583</v>
      </c>
      <c r="C288" t="s">
        <v>584</v>
      </c>
      <c r="D288">
        <v>0</v>
      </c>
      <c r="E288" s="5">
        <v>42638.855578703704</v>
      </c>
      <c r="F288" t="s">
        <v>584</v>
      </c>
      <c r="G288" s="6">
        <v>0</v>
      </c>
    </row>
    <row r="289" spans="1:7" x14ac:dyDescent="0.2">
      <c r="A289" t="s">
        <v>7</v>
      </c>
      <c r="B289" t="s">
        <v>585</v>
      </c>
      <c r="C289" t="s">
        <v>586</v>
      </c>
      <c r="D289">
        <v>0</v>
      </c>
      <c r="E289" s="5">
        <v>42638.855578703704</v>
      </c>
      <c r="F289" t="s">
        <v>586</v>
      </c>
      <c r="G289" s="6">
        <v>0</v>
      </c>
    </row>
    <row r="290" spans="1:7" x14ac:dyDescent="0.2">
      <c r="A290" t="s">
        <v>7</v>
      </c>
      <c r="B290" t="s">
        <v>587</v>
      </c>
      <c r="C290" t="s">
        <v>588</v>
      </c>
      <c r="D290">
        <v>0</v>
      </c>
      <c r="E290" s="5">
        <v>42638.855578703704</v>
      </c>
      <c r="F290" t="s">
        <v>588</v>
      </c>
      <c r="G290" s="6">
        <v>0</v>
      </c>
    </row>
    <row r="291" spans="1:7" x14ac:dyDescent="0.2">
      <c r="A291" t="s">
        <v>7</v>
      </c>
      <c r="B291" t="s">
        <v>589</v>
      </c>
      <c r="C291" t="s">
        <v>590</v>
      </c>
      <c r="D291">
        <v>0</v>
      </c>
      <c r="E291" s="5">
        <v>42638.855578703704</v>
      </c>
      <c r="F291" t="s">
        <v>590</v>
      </c>
      <c r="G291" s="6">
        <v>0</v>
      </c>
    </row>
    <row r="292" spans="1:7" x14ac:dyDescent="0.2">
      <c r="A292" t="s">
        <v>7</v>
      </c>
      <c r="B292" t="s">
        <v>591</v>
      </c>
      <c r="C292" t="s">
        <v>592</v>
      </c>
      <c r="D292">
        <v>0</v>
      </c>
      <c r="E292" s="5">
        <v>42638.855590277781</v>
      </c>
      <c r="F292" t="s">
        <v>592</v>
      </c>
      <c r="G292" s="6">
        <v>0</v>
      </c>
    </row>
    <row r="293" spans="1:7" x14ac:dyDescent="0.2">
      <c r="A293" t="s">
        <v>7</v>
      </c>
      <c r="B293" t="s">
        <v>593</v>
      </c>
      <c r="C293" t="s">
        <v>594</v>
      </c>
      <c r="D293">
        <v>0</v>
      </c>
      <c r="E293" s="5">
        <v>42638.855590277781</v>
      </c>
      <c r="F293" t="s">
        <v>594</v>
      </c>
      <c r="G293" s="6">
        <v>0</v>
      </c>
    </row>
    <row r="294" spans="1:7" x14ac:dyDescent="0.2">
      <c r="A294" t="s">
        <v>7</v>
      </c>
      <c r="B294" t="s">
        <v>595</v>
      </c>
      <c r="C294" t="s">
        <v>596</v>
      </c>
      <c r="D294">
        <v>0</v>
      </c>
      <c r="E294" s="5">
        <v>42638.855590277781</v>
      </c>
      <c r="F294" t="s">
        <v>596</v>
      </c>
      <c r="G294" s="6">
        <v>0</v>
      </c>
    </row>
    <row r="295" spans="1:7" x14ac:dyDescent="0.2">
      <c r="A295" t="s">
        <v>7</v>
      </c>
      <c r="B295" t="s">
        <v>597</v>
      </c>
      <c r="C295" t="s">
        <v>598</v>
      </c>
      <c r="D295">
        <v>0</v>
      </c>
      <c r="E295" s="5">
        <v>42638.855590277781</v>
      </c>
      <c r="F295" t="s">
        <v>598</v>
      </c>
      <c r="G295" s="6">
        <v>0</v>
      </c>
    </row>
    <row r="296" spans="1:7" x14ac:dyDescent="0.2">
      <c r="A296" t="s">
        <v>7</v>
      </c>
      <c r="B296" t="s">
        <v>599</v>
      </c>
      <c r="C296" t="s">
        <v>600</v>
      </c>
      <c r="D296">
        <v>6</v>
      </c>
      <c r="E296" s="5">
        <v>42638.855590277781</v>
      </c>
      <c r="F296" t="s">
        <v>600</v>
      </c>
      <c r="G296" s="6">
        <v>0</v>
      </c>
    </row>
    <row r="297" spans="1:7" x14ac:dyDescent="0.2">
      <c r="A297" t="s">
        <v>7</v>
      </c>
      <c r="B297" t="s">
        <v>601</v>
      </c>
      <c r="C297" t="s">
        <v>584</v>
      </c>
      <c r="D297">
        <v>94</v>
      </c>
      <c r="E297" s="5">
        <v>42080.382453703707</v>
      </c>
      <c r="F297" t="s">
        <v>602</v>
      </c>
      <c r="G297" s="6">
        <v>-1</v>
      </c>
    </row>
    <row r="298" spans="1:7" x14ac:dyDescent="0.2">
      <c r="A298" t="s">
        <v>7</v>
      </c>
      <c r="B298" t="s">
        <v>603</v>
      </c>
      <c r="C298" t="s">
        <v>586</v>
      </c>
      <c r="D298">
        <v>573</v>
      </c>
      <c r="E298" s="5">
        <v>42156.18236111111</v>
      </c>
      <c r="F298" t="s">
        <v>586</v>
      </c>
      <c r="G298" s="6">
        <v>-15</v>
      </c>
    </row>
    <row r="299" spans="1:7" x14ac:dyDescent="0.2">
      <c r="A299" t="s">
        <v>7</v>
      </c>
      <c r="B299" t="s">
        <v>604</v>
      </c>
      <c r="C299" t="s">
        <v>605</v>
      </c>
      <c r="D299">
        <v>3405208</v>
      </c>
      <c r="E299" s="5">
        <v>42187.77715277778</v>
      </c>
      <c r="F299" t="s">
        <v>605</v>
      </c>
      <c r="G299" s="6">
        <v>-36696</v>
      </c>
    </row>
    <row r="300" spans="1:7" x14ac:dyDescent="0.2">
      <c r="A300" t="s">
        <v>7</v>
      </c>
      <c r="B300" t="s">
        <v>606</v>
      </c>
      <c r="C300" t="s">
        <v>607</v>
      </c>
      <c r="D300">
        <v>3230</v>
      </c>
      <c r="E300" s="5">
        <v>42156.18236111111</v>
      </c>
      <c r="F300" t="s">
        <v>607</v>
      </c>
      <c r="G300" s="6">
        <v>0</v>
      </c>
    </row>
    <row r="301" spans="1:7" x14ac:dyDescent="0.2">
      <c r="A301" t="s">
        <v>7</v>
      </c>
      <c r="B301" t="s">
        <v>608</v>
      </c>
      <c r="C301" t="s">
        <v>38</v>
      </c>
      <c r="D301">
        <v>1493</v>
      </c>
      <c r="E301" s="5">
        <v>42545.4528125</v>
      </c>
      <c r="F301" t="s">
        <v>38</v>
      </c>
      <c r="G301" s="6">
        <v>0</v>
      </c>
    </row>
    <row r="302" spans="1:7" x14ac:dyDescent="0.2">
      <c r="A302" t="s">
        <v>7</v>
      </c>
      <c r="B302" t="s">
        <v>609</v>
      </c>
      <c r="C302" t="s">
        <v>610</v>
      </c>
      <c r="D302">
        <v>6335</v>
      </c>
      <c r="E302" s="5">
        <v>42578.74827546296</v>
      </c>
      <c r="F302" t="s">
        <v>610</v>
      </c>
      <c r="G302" s="6">
        <v>-55</v>
      </c>
    </row>
    <row r="303" spans="1:7" x14ac:dyDescent="0.2">
      <c r="A303" t="s">
        <v>7</v>
      </c>
      <c r="B303" t="s">
        <v>611</v>
      </c>
      <c r="C303" t="s">
        <v>612</v>
      </c>
      <c r="D303">
        <v>1</v>
      </c>
      <c r="E303" s="5">
        <v>42241.667986111112</v>
      </c>
      <c r="F303" t="s">
        <v>612</v>
      </c>
      <c r="G303" s="6">
        <v>0</v>
      </c>
    </row>
    <row r="304" spans="1:7" x14ac:dyDescent="0.2">
      <c r="A304" t="s">
        <v>7</v>
      </c>
      <c r="B304" t="s">
        <v>613</v>
      </c>
      <c r="C304" t="s">
        <v>614</v>
      </c>
      <c r="D304">
        <v>160097</v>
      </c>
      <c r="E304" s="5">
        <v>42199.453923611109</v>
      </c>
      <c r="F304" t="s">
        <v>614</v>
      </c>
      <c r="G304" s="6">
        <v>-6177</v>
      </c>
    </row>
    <row r="305" spans="1:7" x14ac:dyDescent="0.2">
      <c r="A305" t="s">
        <v>7</v>
      </c>
      <c r="B305" t="s">
        <v>615</v>
      </c>
      <c r="C305" t="s">
        <v>616</v>
      </c>
      <c r="D305">
        <v>366354</v>
      </c>
      <c r="E305" s="5">
        <v>42080.382465277777</v>
      </c>
      <c r="F305" t="s">
        <v>616</v>
      </c>
      <c r="G305" s="6">
        <v>-88</v>
      </c>
    </row>
    <row r="306" spans="1:7" x14ac:dyDescent="0.2">
      <c r="A306" t="s">
        <v>7</v>
      </c>
      <c r="B306" t="s">
        <v>617</v>
      </c>
      <c r="C306" t="s">
        <v>618</v>
      </c>
      <c r="D306">
        <v>5</v>
      </c>
      <c r="E306" s="5">
        <v>42156.18246527778</v>
      </c>
      <c r="F306" t="s">
        <v>618</v>
      </c>
      <c r="G306" s="6">
        <v>-1</v>
      </c>
    </row>
    <row r="307" spans="1:7" x14ac:dyDescent="0.2">
      <c r="A307" t="s">
        <v>7</v>
      </c>
      <c r="B307" t="s">
        <v>619</v>
      </c>
      <c r="C307" t="s">
        <v>620</v>
      </c>
      <c r="D307">
        <v>629</v>
      </c>
      <c r="E307" s="5">
        <v>42080.382465277777</v>
      </c>
      <c r="F307" t="s">
        <v>620</v>
      </c>
      <c r="G307" s="6">
        <v>-27</v>
      </c>
    </row>
    <row r="308" spans="1:7" x14ac:dyDescent="0.2">
      <c r="A308" t="s">
        <v>7</v>
      </c>
      <c r="B308" t="s">
        <v>621</v>
      </c>
      <c r="C308" t="s">
        <v>622</v>
      </c>
      <c r="D308">
        <v>1</v>
      </c>
      <c r="E308" s="5">
        <v>42080.382476851853</v>
      </c>
      <c r="F308" t="s">
        <v>622</v>
      </c>
      <c r="G308" s="6">
        <v>0</v>
      </c>
    </row>
    <row r="309" spans="1:7" x14ac:dyDescent="0.2">
      <c r="A309" t="s">
        <v>7</v>
      </c>
      <c r="B309" t="s">
        <v>623</v>
      </c>
      <c r="C309" t="s">
        <v>38</v>
      </c>
      <c r="D309">
        <v>37</v>
      </c>
      <c r="E309" s="5">
        <v>42373.624490740738</v>
      </c>
      <c r="F309" t="s">
        <v>38</v>
      </c>
      <c r="G309" s="6">
        <v>0</v>
      </c>
    </row>
    <row r="310" spans="1:7" x14ac:dyDescent="0.2">
      <c r="A310" t="s">
        <v>7</v>
      </c>
      <c r="B310" t="s">
        <v>624</v>
      </c>
      <c r="C310" t="s">
        <v>38</v>
      </c>
      <c r="D310">
        <v>11</v>
      </c>
      <c r="E310" s="5">
        <v>42388.690937500003</v>
      </c>
      <c r="F310" t="s">
        <v>38</v>
      </c>
      <c r="G310" s="6">
        <v>0</v>
      </c>
    </row>
    <row r="311" spans="1:7" x14ac:dyDescent="0.2">
      <c r="A311" t="s">
        <v>7</v>
      </c>
      <c r="B311" t="s">
        <v>10</v>
      </c>
      <c r="C311" t="s">
        <v>38</v>
      </c>
      <c r="D311">
        <v>19</v>
      </c>
      <c r="E311" s="5">
        <v>42373.625428240739</v>
      </c>
      <c r="F311" t="s">
        <v>38</v>
      </c>
      <c r="G311" s="6">
        <v>0</v>
      </c>
    </row>
    <row r="312" spans="1:7" x14ac:dyDescent="0.2">
      <c r="A312" t="s">
        <v>7</v>
      </c>
      <c r="B312" t="s">
        <v>625</v>
      </c>
      <c r="C312" t="s">
        <v>38</v>
      </c>
      <c r="D312">
        <v>11</v>
      </c>
      <c r="E312" s="5">
        <v>42388.691053240742</v>
      </c>
      <c r="F312" t="s">
        <v>38</v>
      </c>
      <c r="G312" s="6">
        <v>0</v>
      </c>
    </row>
    <row r="313" spans="1:7" x14ac:dyDescent="0.2">
      <c r="A313" t="s">
        <v>7</v>
      </c>
      <c r="B313" t="s">
        <v>626</v>
      </c>
      <c r="C313" t="s">
        <v>627</v>
      </c>
      <c r="D313">
        <v>1503</v>
      </c>
      <c r="E313" s="5">
        <v>42080.382476851853</v>
      </c>
      <c r="F313" t="s">
        <v>627</v>
      </c>
      <c r="G313" s="6">
        <v>0</v>
      </c>
    </row>
    <row r="314" spans="1:7" x14ac:dyDescent="0.2">
      <c r="A314" t="s">
        <v>7</v>
      </c>
      <c r="B314" t="s">
        <v>628</v>
      </c>
      <c r="C314" t="s">
        <v>38</v>
      </c>
      <c r="D314">
        <v>987103</v>
      </c>
      <c r="E314" s="5">
        <v>42373.625856481478</v>
      </c>
      <c r="F314" t="s">
        <v>38</v>
      </c>
      <c r="G314" s="6">
        <v>11047</v>
      </c>
    </row>
    <row r="315" spans="1:7" x14ac:dyDescent="0.2">
      <c r="A315" t="s">
        <v>7</v>
      </c>
      <c r="B315" t="s">
        <v>629</v>
      </c>
      <c r="C315" t="s">
        <v>38</v>
      </c>
      <c r="D315">
        <v>298662</v>
      </c>
      <c r="E315" s="5">
        <v>42388.690810185188</v>
      </c>
      <c r="F315" t="s">
        <v>38</v>
      </c>
      <c r="G315" s="6">
        <v>0</v>
      </c>
    </row>
    <row r="316" spans="1:7" x14ac:dyDescent="0.2">
      <c r="A316" t="s">
        <v>7</v>
      </c>
      <c r="B316" t="s">
        <v>12</v>
      </c>
      <c r="C316" t="s">
        <v>38</v>
      </c>
      <c r="D316">
        <v>531</v>
      </c>
      <c r="E316" s="5">
        <v>42467.862569444442</v>
      </c>
      <c r="F316" t="s">
        <v>38</v>
      </c>
      <c r="G316" s="6">
        <v>-7</v>
      </c>
    </row>
    <row r="317" spans="1:7" x14ac:dyDescent="0.2">
      <c r="A317" t="s">
        <v>7</v>
      </c>
      <c r="B317" t="s">
        <v>13</v>
      </c>
      <c r="C317" t="s">
        <v>38</v>
      </c>
      <c r="D317">
        <v>2215490</v>
      </c>
      <c r="E317" s="5">
        <v>42467.862662037034</v>
      </c>
      <c r="F317" t="s">
        <v>38</v>
      </c>
      <c r="G317" s="6">
        <v>3289</v>
      </c>
    </row>
    <row r="318" spans="1:7" x14ac:dyDescent="0.2">
      <c r="A318" t="s">
        <v>7</v>
      </c>
      <c r="B318" t="s">
        <v>630</v>
      </c>
      <c r="C318" t="s">
        <v>38</v>
      </c>
      <c r="D318">
        <v>1086318</v>
      </c>
      <c r="E318" s="5">
        <v>42373.626319444447</v>
      </c>
      <c r="F318" t="s">
        <v>38</v>
      </c>
      <c r="G318" s="6">
        <v>11047</v>
      </c>
    </row>
    <row r="319" spans="1:7" x14ac:dyDescent="0.2">
      <c r="A319" t="s">
        <v>7</v>
      </c>
      <c r="B319" t="s">
        <v>631</v>
      </c>
      <c r="C319" t="s">
        <v>38</v>
      </c>
      <c r="D319">
        <v>28508</v>
      </c>
      <c r="E319" s="5">
        <v>42423.861643518518</v>
      </c>
      <c r="F319" t="s">
        <v>38</v>
      </c>
      <c r="G319" s="6">
        <v>-736</v>
      </c>
    </row>
    <row r="320" spans="1:7" x14ac:dyDescent="0.2">
      <c r="A320" t="s">
        <v>7</v>
      </c>
      <c r="B320" t="s">
        <v>632</v>
      </c>
      <c r="C320" t="s">
        <v>633</v>
      </c>
      <c r="D320">
        <v>9985</v>
      </c>
      <c r="E320" s="5">
        <v>42578.545138888891</v>
      </c>
      <c r="F320" t="s">
        <v>633</v>
      </c>
      <c r="G320" s="6">
        <v>-736</v>
      </c>
    </row>
    <row r="321" spans="1:7" x14ac:dyDescent="0.2">
      <c r="A321" t="s">
        <v>7</v>
      </c>
      <c r="B321" t="s">
        <v>634</v>
      </c>
      <c r="C321" t="s">
        <v>38</v>
      </c>
      <c r="D321">
        <v>19495</v>
      </c>
      <c r="E321" s="5">
        <v>42423.861539351848</v>
      </c>
      <c r="F321" t="s">
        <v>38</v>
      </c>
      <c r="G321" s="6">
        <v>0</v>
      </c>
    </row>
    <row r="322" spans="1:7" x14ac:dyDescent="0.2">
      <c r="A322" t="s">
        <v>7</v>
      </c>
      <c r="B322" t="s">
        <v>635</v>
      </c>
      <c r="C322" t="s">
        <v>636</v>
      </c>
      <c r="D322">
        <v>0</v>
      </c>
      <c r="E322" s="5">
        <v>42578.545138888891</v>
      </c>
      <c r="F322" t="s">
        <v>636</v>
      </c>
      <c r="G322" s="6">
        <v>0</v>
      </c>
    </row>
    <row r="323" spans="1:7" x14ac:dyDescent="0.2">
      <c r="A323" t="s">
        <v>7</v>
      </c>
      <c r="B323" t="s">
        <v>637</v>
      </c>
      <c r="C323" t="s">
        <v>638</v>
      </c>
      <c r="D323">
        <v>28085439</v>
      </c>
      <c r="E323" s="5">
        <v>42422.886504629627</v>
      </c>
      <c r="F323" t="s">
        <v>638</v>
      </c>
      <c r="G323" s="6">
        <v>-703093</v>
      </c>
    </row>
    <row r="324" spans="1:7" x14ac:dyDescent="0.2">
      <c r="A324" t="s">
        <v>7</v>
      </c>
      <c r="B324" t="s">
        <v>639</v>
      </c>
      <c r="C324" t="s">
        <v>640</v>
      </c>
      <c r="D324">
        <v>3019</v>
      </c>
      <c r="E324" s="5">
        <v>42249.790185185186</v>
      </c>
      <c r="F324" t="s">
        <v>640</v>
      </c>
      <c r="G324" s="6">
        <v>0</v>
      </c>
    </row>
    <row r="325" spans="1:7" x14ac:dyDescent="0.2">
      <c r="A325" t="s">
        <v>7</v>
      </c>
      <c r="B325" t="s">
        <v>641</v>
      </c>
      <c r="C325" t="s">
        <v>642</v>
      </c>
      <c r="D325">
        <v>0</v>
      </c>
      <c r="E325" s="5">
        <v>42221.576435185183</v>
      </c>
      <c r="F325" t="s">
        <v>642</v>
      </c>
      <c r="G325" s="6">
        <v>0</v>
      </c>
    </row>
    <row r="326" spans="1:7" x14ac:dyDescent="0.2">
      <c r="A326" t="s">
        <v>7</v>
      </c>
      <c r="B326" t="s">
        <v>643</v>
      </c>
      <c r="C326" t="s">
        <v>644</v>
      </c>
      <c r="D326">
        <v>2668</v>
      </c>
      <c r="E326" s="5">
        <v>42156.18246527778</v>
      </c>
      <c r="F326" t="s">
        <v>644</v>
      </c>
      <c r="G326" s="6">
        <v>-8</v>
      </c>
    </row>
    <row r="327" spans="1:7" x14ac:dyDescent="0.2">
      <c r="A327" t="s">
        <v>7</v>
      </c>
      <c r="B327" t="s">
        <v>645</v>
      </c>
      <c r="C327" t="s">
        <v>646</v>
      </c>
      <c r="D327">
        <v>150</v>
      </c>
      <c r="E327" s="5">
        <v>42585.78125</v>
      </c>
      <c r="F327" t="s">
        <v>646</v>
      </c>
      <c r="G327" s="6">
        <v>-1</v>
      </c>
    </row>
    <row r="328" spans="1:7" x14ac:dyDescent="0.2">
      <c r="A328" t="s">
        <v>7</v>
      </c>
      <c r="B328" t="s">
        <v>647</v>
      </c>
      <c r="C328" t="s">
        <v>648</v>
      </c>
      <c r="D328">
        <v>57</v>
      </c>
      <c r="E328" s="5">
        <v>42585.78125</v>
      </c>
      <c r="F328" t="s">
        <v>648</v>
      </c>
      <c r="G328" s="6">
        <v>-1</v>
      </c>
    </row>
    <row r="329" spans="1:7" x14ac:dyDescent="0.2">
      <c r="A329" t="s">
        <v>7</v>
      </c>
      <c r="B329" t="s">
        <v>649</v>
      </c>
      <c r="C329" t="s">
        <v>650</v>
      </c>
      <c r="D329">
        <v>29</v>
      </c>
      <c r="E329" s="5">
        <v>42080.382488425923</v>
      </c>
      <c r="F329" t="s">
        <v>650</v>
      </c>
      <c r="G329" s="6">
        <v>0</v>
      </c>
    </row>
    <row r="330" spans="1:7" x14ac:dyDescent="0.2">
      <c r="A330" t="s">
        <v>7</v>
      </c>
      <c r="B330" t="s">
        <v>651</v>
      </c>
      <c r="C330" t="s">
        <v>652</v>
      </c>
      <c r="D330">
        <v>0</v>
      </c>
      <c r="E330" s="5">
        <v>42614.660509259258</v>
      </c>
      <c r="F330" t="s">
        <v>652</v>
      </c>
      <c r="G330" s="6">
        <v>0</v>
      </c>
    </row>
    <row r="331" spans="1:7" x14ac:dyDescent="0.2">
      <c r="A331" t="s">
        <v>7</v>
      </c>
      <c r="B331" t="s">
        <v>653</v>
      </c>
      <c r="C331" t="s">
        <v>654</v>
      </c>
      <c r="D331">
        <v>1721269</v>
      </c>
      <c r="E331" s="5">
        <v>42080.382488425923</v>
      </c>
      <c r="F331" t="s">
        <v>655</v>
      </c>
      <c r="G331" s="6">
        <v>-3626</v>
      </c>
    </row>
    <row r="332" spans="1:7" x14ac:dyDescent="0.2">
      <c r="A332" t="s">
        <v>7</v>
      </c>
      <c r="B332" t="s">
        <v>656</v>
      </c>
      <c r="C332" t="s">
        <v>657</v>
      </c>
      <c r="D332">
        <v>37</v>
      </c>
      <c r="E332" s="5">
        <v>42156.182476851849</v>
      </c>
      <c r="F332" t="s">
        <v>657</v>
      </c>
      <c r="G332" s="6">
        <v>0</v>
      </c>
    </row>
    <row r="333" spans="1:7" x14ac:dyDescent="0.2">
      <c r="A333" t="s">
        <v>7</v>
      </c>
      <c r="B333" t="s">
        <v>658</v>
      </c>
      <c r="C333" t="s">
        <v>659</v>
      </c>
      <c r="D333">
        <v>2</v>
      </c>
      <c r="E333" s="5">
        <v>42614.660497685189</v>
      </c>
      <c r="F333" t="s">
        <v>659</v>
      </c>
      <c r="G333" s="6">
        <v>0</v>
      </c>
    </row>
    <row r="334" spans="1:7" x14ac:dyDescent="0.2">
      <c r="A334" t="s">
        <v>7</v>
      </c>
      <c r="B334" t="s">
        <v>660</v>
      </c>
      <c r="C334" t="s">
        <v>661</v>
      </c>
      <c r="D334">
        <v>3284761</v>
      </c>
      <c r="E334" s="5">
        <v>42185.874826388892</v>
      </c>
      <c r="F334" t="s">
        <v>661</v>
      </c>
      <c r="G334" s="6">
        <v>-61838</v>
      </c>
    </row>
    <row r="335" spans="1:7" x14ac:dyDescent="0.2">
      <c r="A335" t="s">
        <v>7</v>
      </c>
      <c r="B335" t="s">
        <v>662</v>
      </c>
      <c r="C335" t="s">
        <v>663</v>
      </c>
      <c r="D335">
        <v>15294087</v>
      </c>
      <c r="E335" s="5">
        <v>42080.382488425923</v>
      </c>
      <c r="F335" t="s">
        <v>663</v>
      </c>
      <c r="G335" s="6">
        <v>-235450</v>
      </c>
    </row>
    <row r="336" spans="1:7" x14ac:dyDescent="0.2">
      <c r="A336" t="s">
        <v>7</v>
      </c>
      <c r="B336" t="s">
        <v>664</v>
      </c>
      <c r="C336" t="s">
        <v>665</v>
      </c>
      <c r="D336">
        <v>87</v>
      </c>
      <c r="E336" s="5">
        <v>42373.478078703702</v>
      </c>
      <c r="F336" t="s">
        <v>665</v>
      </c>
      <c r="G336" s="6">
        <v>0</v>
      </c>
    </row>
    <row r="337" spans="1:7" x14ac:dyDescent="0.2">
      <c r="A337" t="s">
        <v>7</v>
      </c>
      <c r="B337" t="s">
        <v>3</v>
      </c>
      <c r="C337" t="s">
        <v>4</v>
      </c>
      <c r="D337">
        <v>33054292</v>
      </c>
      <c r="E337" s="5">
        <v>42080.382488425923</v>
      </c>
      <c r="F337" t="s">
        <v>666</v>
      </c>
      <c r="G337" s="6">
        <v>-918150</v>
      </c>
    </row>
    <row r="338" spans="1:7" x14ac:dyDescent="0.2">
      <c r="A338" t="s">
        <v>7</v>
      </c>
      <c r="B338" t="s">
        <v>667</v>
      </c>
      <c r="C338" t="s">
        <v>668</v>
      </c>
      <c r="D338">
        <v>17141</v>
      </c>
      <c r="E338" s="5">
        <v>42080.382488425923</v>
      </c>
      <c r="F338" t="s">
        <v>668</v>
      </c>
      <c r="G338" s="6">
        <v>0</v>
      </c>
    </row>
    <row r="339" spans="1:7" x14ac:dyDescent="0.2">
      <c r="A339" t="s">
        <v>7</v>
      </c>
      <c r="B339" t="s">
        <v>669</v>
      </c>
      <c r="C339" t="s">
        <v>670</v>
      </c>
      <c r="D339">
        <v>50</v>
      </c>
      <c r="E339" s="5">
        <v>42080.382488425923</v>
      </c>
      <c r="F339" t="s">
        <v>670</v>
      </c>
      <c r="G339" s="6">
        <v>0</v>
      </c>
    </row>
    <row r="340" spans="1:7" x14ac:dyDescent="0.2">
      <c r="A340" t="s">
        <v>7</v>
      </c>
      <c r="B340" t="s">
        <v>671</v>
      </c>
      <c r="C340" t="s">
        <v>672</v>
      </c>
      <c r="D340">
        <v>70051902</v>
      </c>
      <c r="E340" s="5">
        <v>42080.3825</v>
      </c>
      <c r="F340" t="s">
        <v>673</v>
      </c>
      <c r="G340" s="6">
        <v>-35412</v>
      </c>
    </row>
    <row r="341" spans="1:7" x14ac:dyDescent="0.2">
      <c r="A341" t="s">
        <v>7</v>
      </c>
      <c r="B341" t="s">
        <v>674</v>
      </c>
      <c r="C341" t="s">
        <v>675</v>
      </c>
      <c r="D341">
        <v>1</v>
      </c>
      <c r="E341" s="5">
        <v>42373.478148148148</v>
      </c>
      <c r="F341" t="s">
        <v>675</v>
      </c>
      <c r="G341" s="6">
        <v>0</v>
      </c>
    </row>
    <row r="342" spans="1:7" x14ac:dyDescent="0.2">
      <c r="A342" t="s">
        <v>7</v>
      </c>
      <c r="B342" t="s">
        <v>676</v>
      </c>
      <c r="C342" t="s">
        <v>677</v>
      </c>
      <c r="D342">
        <v>406132</v>
      </c>
      <c r="E342" s="5">
        <v>42080.3825</v>
      </c>
      <c r="F342" t="s">
        <v>678</v>
      </c>
      <c r="G342" s="6">
        <v>0</v>
      </c>
    </row>
    <row r="343" spans="1:7" x14ac:dyDescent="0.2">
      <c r="A343" t="s">
        <v>7</v>
      </c>
      <c r="B343" t="s">
        <v>679</v>
      </c>
      <c r="C343" t="s">
        <v>680</v>
      </c>
      <c r="D343">
        <v>55215</v>
      </c>
      <c r="E343" s="5">
        <v>42080.3825</v>
      </c>
      <c r="F343" t="s">
        <v>680</v>
      </c>
      <c r="G343" s="6">
        <v>-573</v>
      </c>
    </row>
    <row r="344" spans="1:7" x14ac:dyDescent="0.2">
      <c r="A344" t="s">
        <v>7</v>
      </c>
      <c r="B344" t="s">
        <v>681</v>
      </c>
      <c r="C344" t="s">
        <v>38</v>
      </c>
      <c r="D344">
        <v>409</v>
      </c>
      <c r="E344" s="5">
        <v>42183.99931712963</v>
      </c>
      <c r="F344" t="s">
        <v>38</v>
      </c>
      <c r="G344" s="6">
        <v>0</v>
      </c>
    </row>
    <row r="345" spans="1:7" x14ac:dyDescent="0.2">
      <c r="A345" t="s">
        <v>7</v>
      </c>
      <c r="B345" t="s">
        <v>682</v>
      </c>
      <c r="C345" t="s">
        <v>683</v>
      </c>
      <c r="D345">
        <v>365</v>
      </c>
      <c r="E345" s="5">
        <v>42080.3825</v>
      </c>
      <c r="F345" t="s">
        <v>683</v>
      </c>
      <c r="G345" s="6">
        <v>-5</v>
      </c>
    </row>
    <row r="346" spans="1:7" x14ac:dyDescent="0.2">
      <c r="A346" t="s">
        <v>7</v>
      </c>
      <c r="B346" t="s">
        <v>684</v>
      </c>
      <c r="C346" t="s">
        <v>38</v>
      </c>
      <c r="D346">
        <v>0</v>
      </c>
      <c r="E346" s="5">
        <v>42193.774745370371</v>
      </c>
      <c r="F346" t="s">
        <v>38</v>
      </c>
      <c r="G346" s="6">
        <v>0</v>
      </c>
    </row>
    <row r="347" spans="1:7" x14ac:dyDescent="0.2">
      <c r="A347" t="s">
        <v>7</v>
      </c>
      <c r="B347" t="s">
        <v>685</v>
      </c>
      <c r="C347" t="s">
        <v>686</v>
      </c>
      <c r="D347">
        <v>80</v>
      </c>
      <c r="E347" s="5">
        <v>42080.3825</v>
      </c>
      <c r="F347" t="s">
        <v>686</v>
      </c>
      <c r="G347" s="6">
        <v>0</v>
      </c>
    </row>
    <row r="348" spans="1:7" x14ac:dyDescent="0.2">
      <c r="A348" t="s">
        <v>7</v>
      </c>
      <c r="B348" t="s">
        <v>687</v>
      </c>
      <c r="C348" t="s">
        <v>688</v>
      </c>
      <c r="D348">
        <v>109</v>
      </c>
      <c r="E348" s="5">
        <v>42080.3825</v>
      </c>
      <c r="F348" t="s">
        <v>688</v>
      </c>
      <c r="G348" s="6">
        <v>-2</v>
      </c>
    </row>
    <row r="349" spans="1:7" x14ac:dyDescent="0.2">
      <c r="A349" t="s">
        <v>7</v>
      </c>
      <c r="B349" t="s">
        <v>689</v>
      </c>
      <c r="C349" t="s">
        <v>690</v>
      </c>
      <c r="D349">
        <v>2081</v>
      </c>
      <c r="E349" s="5">
        <v>42187.777129629627</v>
      </c>
      <c r="F349" t="s">
        <v>690</v>
      </c>
      <c r="G349" s="6">
        <v>0</v>
      </c>
    </row>
    <row r="350" spans="1:7" x14ac:dyDescent="0.2">
      <c r="A350" t="s">
        <v>7</v>
      </c>
      <c r="B350" t="s">
        <v>691</v>
      </c>
      <c r="C350" t="s">
        <v>692</v>
      </c>
      <c r="D350">
        <v>10826</v>
      </c>
      <c r="E350" s="5">
        <v>42534.835370370369</v>
      </c>
      <c r="F350" t="s">
        <v>692</v>
      </c>
      <c r="G350" s="6">
        <v>-99</v>
      </c>
    </row>
    <row r="351" spans="1:7" x14ac:dyDescent="0.2">
      <c r="A351" t="s">
        <v>7</v>
      </c>
      <c r="B351" t="s">
        <v>693</v>
      </c>
      <c r="C351" t="s">
        <v>38</v>
      </c>
      <c r="D351">
        <v>0</v>
      </c>
      <c r="E351" s="5">
        <v>42660.76898148148</v>
      </c>
      <c r="F351" t="s">
        <v>38</v>
      </c>
      <c r="G351" s="6">
        <v>0</v>
      </c>
    </row>
    <row r="352" spans="1:7" x14ac:dyDescent="0.2">
      <c r="A352" t="s">
        <v>7</v>
      </c>
      <c r="B352" t="s">
        <v>694</v>
      </c>
      <c r="C352" t="s">
        <v>38</v>
      </c>
      <c r="D352">
        <v>0</v>
      </c>
      <c r="E352" s="5">
        <v>42660.76898148148</v>
      </c>
      <c r="F352" t="s">
        <v>38</v>
      </c>
      <c r="G352" s="6">
        <v>0</v>
      </c>
    </row>
    <row r="353" spans="1:7" x14ac:dyDescent="0.2">
      <c r="A353" t="s">
        <v>7</v>
      </c>
      <c r="B353" t="s">
        <v>695</v>
      </c>
      <c r="C353" t="s">
        <v>38</v>
      </c>
      <c r="D353">
        <v>0</v>
      </c>
      <c r="E353" s="5">
        <v>42660.754513888889</v>
      </c>
      <c r="F353" t="s">
        <v>38</v>
      </c>
      <c r="G353" s="6">
        <v>0</v>
      </c>
    </row>
    <row r="354" spans="1:7" x14ac:dyDescent="0.2">
      <c r="A354" t="s">
        <v>7</v>
      </c>
      <c r="B354" t="s">
        <v>696</v>
      </c>
      <c r="C354" t="s">
        <v>38</v>
      </c>
      <c r="D354">
        <v>0</v>
      </c>
      <c r="E354" s="5">
        <v>42660.754513888889</v>
      </c>
      <c r="F354" t="s">
        <v>38</v>
      </c>
      <c r="G354" s="6">
        <v>0</v>
      </c>
    </row>
    <row r="355" spans="1:7" x14ac:dyDescent="0.2">
      <c r="A355" t="s">
        <v>7</v>
      </c>
      <c r="B355" t="s">
        <v>697</v>
      </c>
      <c r="C355" t="s">
        <v>38</v>
      </c>
      <c r="D355">
        <v>0</v>
      </c>
      <c r="E355" s="5">
        <v>42660.754513888889</v>
      </c>
      <c r="F355" t="s">
        <v>38</v>
      </c>
      <c r="G355" s="6">
        <v>0</v>
      </c>
    </row>
    <row r="356" spans="1:7" x14ac:dyDescent="0.2">
      <c r="A356" t="s">
        <v>7</v>
      </c>
      <c r="B356" t="s">
        <v>698</v>
      </c>
      <c r="C356" t="s">
        <v>38</v>
      </c>
      <c r="D356">
        <v>0</v>
      </c>
      <c r="E356" s="5">
        <v>42660.754513888889</v>
      </c>
      <c r="F356" t="s">
        <v>38</v>
      </c>
      <c r="G356" s="6">
        <v>0</v>
      </c>
    </row>
    <row r="357" spans="1:7" x14ac:dyDescent="0.2">
      <c r="A357" t="s">
        <v>7</v>
      </c>
      <c r="B357" t="s">
        <v>699</v>
      </c>
      <c r="C357" t="s">
        <v>700</v>
      </c>
      <c r="D357">
        <v>2761</v>
      </c>
      <c r="E357" s="5">
        <v>42481.975949074076</v>
      </c>
      <c r="F357" t="s">
        <v>700</v>
      </c>
      <c r="G357" s="6">
        <v>-1</v>
      </c>
    </row>
    <row r="358" spans="1:7" x14ac:dyDescent="0.2">
      <c r="A358" t="s">
        <v>7</v>
      </c>
      <c r="B358" t="s">
        <v>701</v>
      </c>
      <c r="C358" t="s">
        <v>702</v>
      </c>
      <c r="D358">
        <v>327</v>
      </c>
      <c r="E358" s="5">
        <v>42523.82236111111</v>
      </c>
      <c r="F358" t="s">
        <v>702</v>
      </c>
      <c r="G358" s="6">
        <v>-10</v>
      </c>
    </row>
    <row r="359" spans="1:7" x14ac:dyDescent="0.2">
      <c r="A359" t="s">
        <v>7</v>
      </c>
      <c r="B359" t="s">
        <v>703</v>
      </c>
      <c r="C359" t="s">
        <v>704</v>
      </c>
      <c r="D359">
        <v>267720</v>
      </c>
      <c r="E359" s="5">
        <v>42314.785613425927</v>
      </c>
      <c r="F359" t="s">
        <v>704</v>
      </c>
      <c r="G359" s="6">
        <v>-3501</v>
      </c>
    </row>
    <row r="360" spans="1:7" x14ac:dyDescent="0.2">
      <c r="A360" t="s">
        <v>7</v>
      </c>
      <c r="B360" t="s">
        <v>705</v>
      </c>
      <c r="C360" t="s">
        <v>706</v>
      </c>
      <c r="D360">
        <v>59940613</v>
      </c>
      <c r="E360" s="5">
        <v>42080.3825</v>
      </c>
      <c r="F360" t="s">
        <v>707</v>
      </c>
      <c r="G360" s="6">
        <v>-1544599</v>
      </c>
    </row>
    <row r="361" spans="1:7" x14ac:dyDescent="0.2">
      <c r="A361" t="s">
        <v>7</v>
      </c>
      <c r="B361" t="s">
        <v>708</v>
      </c>
      <c r="C361" t="s">
        <v>709</v>
      </c>
      <c r="D361">
        <v>300</v>
      </c>
      <c r="E361" s="5">
        <v>42585.740624999999</v>
      </c>
      <c r="F361" t="s">
        <v>709</v>
      </c>
      <c r="G361" s="6">
        <v>-2</v>
      </c>
    </row>
    <row r="362" spans="1:7" x14ac:dyDescent="0.2">
      <c r="A362" t="s">
        <v>7</v>
      </c>
      <c r="B362" t="s">
        <v>710</v>
      </c>
      <c r="C362" t="s">
        <v>711</v>
      </c>
      <c r="D362">
        <v>4088469</v>
      </c>
      <c r="E362" s="5">
        <v>42156.192719907405</v>
      </c>
      <c r="F362" t="s">
        <v>711</v>
      </c>
      <c r="G362" s="6">
        <v>-78765</v>
      </c>
    </row>
    <row r="363" spans="1:7" x14ac:dyDescent="0.2">
      <c r="A363" t="s">
        <v>7</v>
      </c>
      <c r="B363" t="s">
        <v>712</v>
      </c>
      <c r="C363" t="s">
        <v>713</v>
      </c>
      <c r="D363">
        <v>16993</v>
      </c>
      <c r="E363" s="5">
        <v>42156.193009259259</v>
      </c>
      <c r="F363" t="s">
        <v>713</v>
      </c>
      <c r="G363" s="6">
        <v>-109</v>
      </c>
    </row>
    <row r="364" spans="1:7" x14ac:dyDescent="0.2">
      <c r="A364" t="s">
        <v>7</v>
      </c>
      <c r="B364" t="s">
        <v>714</v>
      </c>
      <c r="C364" t="s">
        <v>715</v>
      </c>
      <c r="D364">
        <v>38032</v>
      </c>
      <c r="E364" s="5">
        <v>42156.193043981482</v>
      </c>
      <c r="F364" t="s">
        <v>715</v>
      </c>
      <c r="G364" s="6">
        <v>-43</v>
      </c>
    </row>
    <row r="365" spans="1:7" x14ac:dyDescent="0.2">
      <c r="A365" t="s">
        <v>7</v>
      </c>
      <c r="B365" t="s">
        <v>716</v>
      </c>
      <c r="C365" t="s">
        <v>717</v>
      </c>
      <c r="D365">
        <v>1106110</v>
      </c>
      <c r="E365" s="5">
        <v>42156.193055555559</v>
      </c>
      <c r="F365" t="s">
        <v>717</v>
      </c>
      <c r="G365" s="6">
        <v>-13313</v>
      </c>
    </row>
    <row r="366" spans="1:7" x14ac:dyDescent="0.2">
      <c r="A366" t="s">
        <v>7</v>
      </c>
      <c r="B366" t="s">
        <v>718</v>
      </c>
      <c r="C366" t="s">
        <v>719</v>
      </c>
      <c r="D366">
        <v>1612332</v>
      </c>
      <c r="E366" s="5">
        <v>42156.193090277775</v>
      </c>
      <c r="F366" t="s">
        <v>719</v>
      </c>
      <c r="G366" s="6">
        <v>-15838</v>
      </c>
    </row>
    <row r="367" spans="1:7" x14ac:dyDescent="0.2">
      <c r="A367" t="s">
        <v>7</v>
      </c>
      <c r="B367" t="s">
        <v>720</v>
      </c>
      <c r="C367" t="s">
        <v>719</v>
      </c>
      <c r="D367">
        <v>435464</v>
      </c>
      <c r="E367" s="5">
        <v>42326.969444444447</v>
      </c>
      <c r="F367" t="s">
        <v>719</v>
      </c>
      <c r="G367" s="6">
        <v>0</v>
      </c>
    </row>
    <row r="368" spans="1:7" x14ac:dyDescent="0.2">
      <c r="A368" t="s">
        <v>7</v>
      </c>
      <c r="B368" t="s">
        <v>721</v>
      </c>
      <c r="C368" t="s">
        <v>722</v>
      </c>
      <c r="D368">
        <v>0</v>
      </c>
      <c r="E368" s="5">
        <v>42156.193194444444</v>
      </c>
      <c r="F368" t="s">
        <v>722</v>
      </c>
      <c r="G368" s="6">
        <v>0</v>
      </c>
    </row>
    <row r="369" spans="1:7" x14ac:dyDescent="0.2">
      <c r="A369" t="s">
        <v>7</v>
      </c>
      <c r="B369" t="s">
        <v>723</v>
      </c>
      <c r="C369" t="s">
        <v>724</v>
      </c>
      <c r="D369">
        <v>17074</v>
      </c>
      <c r="E369" s="5">
        <v>42080.3825</v>
      </c>
      <c r="F369" t="s">
        <v>724</v>
      </c>
      <c r="G369" s="6">
        <v>0</v>
      </c>
    </row>
    <row r="370" spans="1:7" x14ac:dyDescent="0.2">
      <c r="A370" t="s">
        <v>7</v>
      </c>
      <c r="B370" t="s">
        <v>725</v>
      </c>
      <c r="C370" t="s">
        <v>726</v>
      </c>
      <c r="D370">
        <v>923</v>
      </c>
      <c r="E370" s="5">
        <v>42156.193206018521</v>
      </c>
      <c r="F370" t="s">
        <v>726</v>
      </c>
      <c r="G370" s="6">
        <v>0</v>
      </c>
    </row>
    <row r="371" spans="1:7" x14ac:dyDescent="0.2">
      <c r="A371" t="s">
        <v>7</v>
      </c>
      <c r="B371" t="s">
        <v>727</v>
      </c>
      <c r="C371" t="s">
        <v>728</v>
      </c>
      <c r="D371">
        <v>27223</v>
      </c>
      <c r="E371" s="5">
        <v>42156.193206018521</v>
      </c>
      <c r="F371" t="s">
        <v>728</v>
      </c>
      <c r="G371" s="6">
        <v>-303</v>
      </c>
    </row>
    <row r="372" spans="1:7" x14ac:dyDescent="0.2">
      <c r="A372" t="s">
        <v>7</v>
      </c>
      <c r="B372" t="s">
        <v>729</v>
      </c>
      <c r="C372" t="s">
        <v>730</v>
      </c>
      <c r="D372">
        <v>3277</v>
      </c>
      <c r="E372" s="5">
        <v>42156.19321759259</v>
      </c>
      <c r="F372" t="s">
        <v>730</v>
      </c>
      <c r="G372" s="6">
        <v>0</v>
      </c>
    </row>
    <row r="373" spans="1:7" x14ac:dyDescent="0.2">
      <c r="A373" t="s">
        <v>7</v>
      </c>
      <c r="B373" t="s">
        <v>731</v>
      </c>
      <c r="C373" t="s">
        <v>732</v>
      </c>
      <c r="D373">
        <v>283610</v>
      </c>
      <c r="E373" s="5">
        <v>42156.19321759259</v>
      </c>
      <c r="F373" t="s">
        <v>732</v>
      </c>
      <c r="G373" s="6">
        <v>-386</v>
      </c>
    </row>
    <row r="374" spans="1:7" x14ac:dyDescent="0.2">
      <c r="A374" t="s">
        <v>7</v>
      </c>
      <c r="B374" t="s">
        <v>733</v>
      </c>
      <c r="C374" t="s">
        <v>734</v>
      </c>
      <c r="D374">
        <v>0</v>
      </c>
      <c r="E374" s="5">
        <v>42156.193287037036</v>
      </c>
      <c r="F374" t="s">
        <v>734</v>
      </c>
      <c r="G374" s="6">
        <v>0</v>
      </c>
    </row>
    <row r="375" spans="1:7" x14ac:dyDescent="0.2">
      <c r="A375" t="s">
        <v>7</v>
      </c>
      <c r="B375" t="s">
        <v>735</v>
      </c>
      <c r="C375" t="s">
        <v>736</v>
      </c>
      <c r="D375">
        <v>0</v>
      </c>
      <c r="E375" s="5">
        <v>42156.193287037036</v>
      </c>
      <c r="F375" t="s">
        <v>736</v>
      </c>
      <c r="G375" s="6">
        <v>0</v>
      </c>
    </row>
    <row r="376" spans="1:7" x14ac:dyDescent="0.2">
      <c r="A376" t="s">
        <v>7</v>
      </c>
      <c r="B376" t="s">
        <v>737</v>
      </c>
      <c r="C376" t="s">
        <v>738</v>
      </c>
      <c r="D376">
        <v>16289525</v>
      </c>
      <c r="E376" s="5">
        <v>42156.193287037036</v>
      </c>
      <c r="F376" t="s">
        <v>738</v>
      </c>
      <c r="G376" s="6">
        <v>-186219</v>
      </c>
    </row>
    <row r="377" spans="1:7" x14ac:dyDescent="0.2">
      <c r="A377" t="s">
        <v>7</v>
      </c>
      <c r="B377" t="s">
        <v>739</v>
      </c>
      <c r="C377" t="s">
        <v>740</v>
      </c>
      <c r="D377">
        <v>142213</v>
      </c>
      <c r="E377" s="5">
        <v>42615.754386574074</v>
      </c>
      <c r="F377" t="s">
        <v>740</v>
      </c>
      <c r="G377" s="6">
        <v>-3525</v>
      </c>
    </row>
    <row r="378" spans="1:7" x14ac:dyDescent="0.2">
      <c r="A378" t="s">
        <v>7</v>
      </c>
      <c r="B378" t="s">
        <v>741</v>
      </c>
      <c r="C378" t="s">
        <v>742</v>
      </c>
      <c r="D378">
        <v>1061618</v>
      </c>
      <c r="E378" s="5">
        <v>42156.193460648145</v>
      </c>
      <c r="F378" t="s">
        <v>742</v>
      </c>
      <c r="G378" s="6">
        <v>-12086</v>
      </c>
    </row>
    <row r="379" spans="1:7" x14ac:dyDescent="0.2">
      <c r="A379" t="s">
        <v>7</v>
      </c>
      <c r="B379" t="s">
        <v>743</v>
      </c>
      <c r="C379" t="s">
        <v>744</v>
      </c>
      <c r="D379">
        <v>9968</v>
      </c>
      <c r="E379" s="5">
        <v>42156.193472222221</v>
      </c>
      <c r="F379" t="s">
        <v>744</v>
      </c>
      <c r="G379" s="6">
        <v>-16</v>
      </c>
    </row>
    <row r="380" spans="1:7" x14ac:dyDescent="0.2">
      <c r="A380" t="s">
        <v>7</v>
      </c>
      <c r="B380" t="s">
        <v>745</v>
      </c>
      <c r="C380" t="s">
        <v>746</v>
      </c>
      <c r="D380">
        <v>7474</v>
      </c>
      <c r="E380" s="5">
        <v>42545.748680555553</v>
      </c>
      <c r="F380" t="s">
        <v>746</v>
      </c>
      <c r="G380" s="6">
        <v>6</v>
      </c>
    </row>
    <row r="381" spans="1:7" x14ac:dyDescent="0.2">
      <c r="A381" t="s">
        <v>7</v>
      </c>
      <c r="B381" t="s">
        <v>747</v>
      </c>
      <c r="C381" t="s">
        <v>748</v>
      </c>
      <c r="D381">
        <v>208</v>
      </c>
      <c r="E381" s="5">
        <v>42601.694236111114</v>
      </c>
      <c r="F381" t="s">
        <v>748</v>
      </c>
      <c r="G381" s="6">
        <v>-14</v>
      </c>
    </row>
    <row r="382" spans="1:7" x14ac:dyDescent="0.2">
      <c r="A382" t="s">
        <v>7</v>
      </c>
      <c r="B382" t="s">
        <v>749</v>
      </c>
      <c r="C382" t="s">
        <v>750</v>
      </c>
      <c r="D382">
        <v>124093</v>
      </c>
      <c r="E382" s="5">
        <v>42156.193472222221</v>
      </c>
      <c r="F382" t="s">
        <v>750</v>
      </c>
      <c r="G382" s="6">
        <v>-220</v>
      </c>
    </row>
    <row r="383" spans="1:7" x14ac:dyDescent="0.2">
      <c r="A383" t="s">
        <v>7</v>
      </c>
      <c r="B383" t="s">
        <v>751</v>
      </c>
      <c r="C383" t="s">
        <v>752</v>
      </c>
      <c r="D383">
        <v>156405</v>
      </c>
      <c r="E383" s="5">
        <v>42156.193495370368</v>
      </c>
      <c r="F383" t="s">
        <v>752</v>
      </c>
      <c r="G383" s="6">
        <v>-391</v>
      </c>
    </row>
    <row r="384" spans="1:7" x14ac:dyDescent="0.2">
      <c r="A384" t="s">
        <v>7</v>
      </c>
      <c r="B384" t="s">
        <v>753</v>
      </c>
      <c r="C384" t="s">
        <v>754</v>
      </c>
      <c r="D384">
        <v>1701833</v>
      </c>
      <c r="E384" s="5">
        <v>42080.382511574076</v>
      </c>
      <c r="F384" t="s">
        <v>755</v>
      </c>
      <c r="G384" s="6">
        <v>-10761</v>
      </c>
    </row>
    <row r="385" spans="1:7" x14ac:dyDescent="0.2">
      <c r="A385" t="s">
        <v>7</v>
      </c>
      <c r="B385" t="s">
        <v>756</v>
      </c>
      <c r="C385" t="s">
        <v>754</v>
      </c>
      <c r="D385">
        <v>51</v>
      </c>
      <c r="E385" s="5">
        <v>42346.475949074076</v>
      </c>
      <c r="F385" t="s">
        <v>754</v>
      </c>
      <c r="G385" s="6">
        <v>0</v>
      </c>
    </row>
    <row r="386" spans="1:7" x14ac:dyDescent="0.2">
      <c r="A386" t="s">
        <v>7</v>
      </c>
      <c r="B386" t="s">
        <v>757</v>
      </c>
      <c r="C386" t="s">
        <v>754</v>
      </c>
      <c r="D386">
        <v>336</v>
      </c>
      <c r="E386" s="5">
        <v>42346.475856481484</v>
      </c>
      <c r="F386" t="s">
        <v>754</v>
      </c>
      <c r="G386" s="6">
        <v>0</v>
      </c>
    </row>
    <row r="387" spans="1:7" x14ac:dyDescent="0.2">
      <c r="A387" t="s">
        <v>7</v>
      </c>
      <c r="B387" t="s">
        <v>758</v>
      </c>
      <c r="C387" t="s">
        <v>759</v>
      </c>
      <c r="D387">
        <v>1662537</v>
      </c>
      <c r="E387" s="5">
        <v>42201.47216435185</v>
      </c>
      <c r="F387" t="s">
        <v>759</v>
      </c>
      <c r="G387" s="6">
        <v>-10297</v>
      </c>
    </row>
    <row r="388" spans="1:7" x14ac:dyDescent="0.2">
      <c r="A388" t="s">
        <v>7</v>
      </c>
      <c r="B388" t="s">
        <v>760</v>
      </c>
      <c r="C388" t="s">
        <v>761</v>
      </c>
      <c r="D388">
        <v>118</v>
      </c>
      <c r="E388" s="5">
        <v>42156.193553240744</v>
      </c>
      <c r="F388" t="s">
        <v>761</v>
      </c>
      <c r="G388" s="6">
        <v>0</v>
      </c>
    </row>
    <row r="389" spans="1:7" x14ac:dyDescent="0.2">
      <c r="A389" t="s">
        <v>7</v>
      </c>
      <c r="B389" t="s">
        <v>762</v>
      </c>
      <c r="C389" t="s">
        <v>763</v>
      </c>
      <c r="D389">
        <v>2820382</v>
      </c>
      <c r="E389" s="5">
        <v>42156.193553240744</v>
      </c>
      <c r="F389" t="s">
        <v>763</v>
      </c>
      <c r="G389" s="6">
        <v>-47891</v>
      </c>
    </row>
    <row r="390" spans="1:7" x14ac:dyDescent="0.2">
      <c r="A390" t="s">
        <v>7</v>
      </c>
      <c r="B390" t="s">
        <v>764</v>
      </c>
      <c r="C390" t="s">
        <v>765</v>
      </c>
      <c r="D390">
        <v>3162899</v>
      </c>
      <c r="E390" s="5">
        <v>42156.193692129629</v>
      </c>
      <c r="F390" t="s">
        <v>765</v>
      </c>
      <c r="G390" s="6">
        <v>-56079</v>
      </c>
    </row>
    <row r="391" spans="1:7" x14ac:dyDescent="0.2">
      <c r="A391" t="s">
        <v>7</v>
      </c>
      <c r="B391" t="s">
        <v>766</v>
      </c>
      <c r="C391" t="s">
        <v>767</v>
      </c>
      <c r="D391">
        <v>35</v>
      </c>
      <c r="E391" s="5">
        <v>42156.193935185183</v>
      </c>
      <c r="F391" t="s">
        <v>767</v>
      </c>
      <c r="G391" s="6">
        <v>0</v>
      </c>
    </row>
    <row r="392" spans="1:7" x14ac:dyDescent="0.2">
      <c r="A392" t="s">
        <v>7</v>
      </c>
      <c r="B392" t="s">
        <v>768</v>
      </c>
      <c r="C392" t="s">
        <v>769</v>
      </c>
      <c r="D392">
        <v>41</v>
      </c>
      <c r="E392" s="5">
        <v>42156.193935185183</v>
      </c>
      <c r="F392" t="s">
        <v>769</v>
      </c>
      <c r="G392" s="6">
        <v>0</v>
      </c>
    </row>
    <row r="393" spans="1:7" x14ac:dyDescent="0.2">
      <c r="A393" t="s">
        <v>7</v>
      </c>
      <c r="B393" t="s">
        <v>770</v>
      </c>
      <c r="C393" t="s">
        <v>771</v>
      </c>
      <c r="D393">
        <v>778017</v>
      </c>
      <c r="E393" s="5">
        <v>42080.382511574076</v>
      </c>
      <c r="F393" t="s">
        <v>772</v>
      </c>
      <c r="G393" s="6">
        <v>-20525</v>
      </c>
    </row>
    <row r="394" spans="1:7" x14ac:dyDescent="0.2">
      <c r="A394" t="s">
        <v>7</v>
      </c>
      <c r="B394" t="s">
        <v>773</v>
      </c>
      <c r="C394" t="s">
        <v>774</v>
      </c>
      <c r="D394">
        <v>151815</v>
      </c>
      <c r="E394" s="5">
        <v>42431.532361111109</v>
      </c>
      <c r="F394" t="s">
        <v>774</v>
      </c>
      <c r="G394" s="6">
        <v>-9504</v>
      </c>
    </row>
    <row r="395" spans="1:7" x14ac:dyDescent="0.2">
      <c r="A395" t="s">
        <v>7</v>
      </c>
      <c r="B395" t="s">
        <v>775</v>
      </c>
      <c r="C395" t="s">
        <v>774</v>
      </c>
      <c r="D395">
        <v>93</v>
      </c>
      <c r="E395" s="5">
        <v>42509.800300925926</v>
      </c>
      <c r="F395" t="s">
        <v>774</v>
      </c>
      <c r="G395" s="6">
        <v>-7</v>
      </c>
    </row>
    <row r="396" spans="1:7" x14ac:dyDescent="0.2">
      <c r="A396" t="s">
        <v>7</v>
      </c>
      <c r="B396" t="s">
        <v>776</v>
      </c>
      <c r="C396" t="s">
        <v>777</v>
      </c>
      <c r="D396">
        <v>307521</v>
      </c>
      <c r="E396" s="5">
        <v>42156.19394675926</v>
      </c>
      <c r="F396" t="s">
        <v>777</v>
      </c>
      <c r="G396" s="6">
        <v>-1333</v>
      </c>
    </row>
    <row r="397" spans="1:7" x14ac:dyDescent="0.2">
      <c r="A397" t="s">
        <v>7</v>
      </c>
      <c r="B397" t="s">
        <v>778</v>
      </c>
      <c r="C397" t="s">
        <v>779</v>
      </c>
      <c r="D397">
        <v>1242</v>
      </c>
      <c r="E397" s="5">
        <v>42156.193958333337</v>
      </c>
      <c r="F397" t="s">
        <v>779</v>
      </c>
      <c r="G397" s="6">
        <v>0</v>
      </c>
    </row>
    <row r="398" spans="1:7" x14ac:dyDescent="0.2">
      <c r="A398" t="s">
        <v>7</v>
      </c>
      <c r="B398" t="s">
        <v>780</v>
      </c>
      <c r="C398" t="s">
        <v>781</v>
      </c>
      <c r="D398">
        <v>4986</v>
      </c>
      <c r="E398" s="5">
        <v>42156.193958333337</v>
      </c>
      <c r="F398" t="s">
        <v>781</v>
      </c>
      <c r="G398" s="6">
        <v>-19</v>
      </c>
    </row>
    <row r="399" spans="1:7" x14ac:dyDescent="0.2">
      <c r="A399" t="s">
        <v>7</v>
      </c>
      <c r="B399" t="s">
        <v>782</v>
      </c>
      <c r="C399" t="s">
        <v>783</v>
      </c>
      <c r="D399">
        <v>0</v>
      </c>
      <c r="E399" s="5">
        <v>42156.193958333337</v>
      </c>
      <c r="F399" t="s">
        <v>783</v>
      </c>
      <c r="G399" s="6">
        <v>0</v>
      </c>
    </row>
    <row r="400" spans="1:7" x14ac:dyDescent="0.2">
      <c r="A400" t="s">
        <v>7</v>
      </c>
      <c r="B400" t="s">
        <v>23</v>
      </c>
      <c r="C400" t="s">
        <v>24</v>
      </c>
      <c r="D400">
        <v>4961872</v>
      </c>
      <c r="E400" s="5">
        <v>42156.193958333337</v>
      </c>
      <c r="F400" t="s">
        <v>24</v>
      </c>
      <c r="G400" s="6">
        <v>-78796</v>
      </c>
    </row>
    <row r="401" spans="1:7" x14ac:dyDescent="0.2">
      <c r="A401" t="s">
        <v>7</v>
      </c>
      <c r="B401" t="s">
        <v>784</v>
      </c>
      <c r="C401" t="s">
        <v>24</v>
      </c>
      <c r="D401">
        <v>1720708</v>
      </c>
      <c r="E401" s="5">
        <v>42156.194872685184</v>
      </c>
      <c r="F401" t="s">
        <v>24</v>
      </c>
      <c r="G401" s="6">
        <v>-13399</v>
      </c>
    </row>
    <row r="402" spans="1:7" x14ac:dyDescent="0.2">
      <c r="A402" t="s">
        <v>7</v>
      </c>
      <c r="B402" t="s">
        <v>25</v>
      </c>
      <c r="C402" t="s">
        <v>26</v>
      </c>
      <c r="D402">
        <v>2962097</v>
      </c>
      <c r="E402" s="5">
        <v>42156.195648148147</v>
      </c>
      <c r="F402" t="s">
        <v>26</v>
      </c>
      <c r="G402" s="6">
        <v>-42009</v>
      </c>
    </row>
    <row r="403" spans="1:7" x14ac:dyDescent="0.2">
      <c r="A403" t="s">
        <v>7</v>
      </c>
      <c r="B403" t="s">
        <v>785</v>
      </c>
      <c r="C403" t="s">
        <v>24</v>
      </c>
      <c r="D403">
        <v>1146569</v>
      </c>
      <c r="E403" s="5">
        <v>42326.969444444447</v>
      </c>
      <c r="F403" t="s">
        <v>24</v>
      </c>
      <c r="G403" s="6">
        <v>0</v>
      </c>
    </row>
    <row r="404" spans="1:7" x14ac:dyDescent="0.2">
      <c r="A404" t="s">
        <v>7</v>
      </c>
      <c r="B404" t="s">
        <v>786</v>
      </c>
      <c r="C404" t="s">
        <v>787</v>
      </c>
      <c r="D404">
        <v>3412102</v>
      </c>
      <c r="E404" s="5">
        <v>42241.667974537035</v>
      </c>
      <c r="F404" t="s">
        <v>787</v>
      </c>
      <c r="G404" s="6">
        <v>0</v>
      </c>
    </row>
    <row r="405" spans="1:7" x14ac:dyDescent="0.2">
      <c r="A405" t="s">
        <v>7</v>
      </c>
      <c r="B405" t="s">
        <v>788</v>
      </c>
      <c r="C405" t="s">
        <v>789</v>
      </c>
      <c r="D405">
        <v>1688840</v>
      </c>
      <c r="E405" s="5">
        <v>42192.751574074071</v>
      </c>
      <c r="F405" t="s">
        <v>789</v>
      </c>
      <c r="G405" s="6">
        <v>-28562</v>
      </c>
    </row>
    <row r="406" spans="1:7" x14ac:dyDescent="0.2">
      <c r="A406" t="s">
        <v>7</v>
      </c>
      <c r="B406" t="s">
        <v>790</v>
      </c>
      <c r="C406" t="s">
        <v>791</v>
      </c>
      <c r="D406">
        <v>1140704</v>
      </c>
      <c r="E406" s="5">
        <v>42156.196145833332</v>
      </c>
      <c r="F406" t="s">
        <v>791</v>
      </c>
      <c r="G406" s="6">
        <v>-1143</v>
      </c>
    </row>
    <row r="407" spans="1:7" x14ac:dyDescent="0.2">
      <c r="A407" t="s">
        <v>7</v>
      </c>
      <c r="B407" t="s">
        <v>792</v>
      </c>
      <c r="C407" t="s">
        <v>793</v>
      </c>
      <c r="D407">
        <v>2725465</v>
      </c>
      <c r="E407" s="5">
        <v>42156.196979166663</v>
      </c>
      <c r="F407" t="s">
        <v>793</v>
      </c>
      <c r="G407" s="6">
        <v>-28250</v>
      </c>
    </row>
    <row r="408" spans="1:7" x14ac:dyDescent="0.2">
      <c r="A408" t="s">
        <v>7</v>
      </c>
      <c r="B408" t="s">
        <v>794</v>
      </c>
      <c r="C408" t="s">
        <v>795</v>
      </c>
      <c r="D408">
        <v>10048779</v>
      </c>
      <c r="E408" s="5">
        <v>42156.197233796294</v>
      </c>
      <c r="F408" t="s">
        <v>795</v>
      </c>
      <c r="G408" s="6">
        <v>-231051</v>
      </c>
    </row>
    <row r="409" spans="1:7" x14ac:dyDescent="0.2">
      <c r="A409" t="s">
        <v>7</v>
      </c>
      <c r="B409" t="s">
        <v>796</v>
      </c>
      <c r="C409" t="s">
        <v>797</v>
      </c>
      <c r="D409">
        <v>0</v>
      </c>
      <c r="E409" s="5">
        <v>42156.198379629626</v>
      </c>
      <c r="F409" t="s">
        <v>797</v>
      </c>
      <c r="G409" s="6">
        <v>0</v>
      </c>
    </row>
    <row r="410" spans="1:7" x14ac:dyDescent="0.2">
      <c r="A410" t="s">
        <v>7</v>
      </c>
      <c r="B410" t="s">
        <v>798</v>
      </c>
      <c r="C410" t="s">
        <v>799</v>
      </c>
      <c r="D410">
        <v>228810</v>
      </c>
      <c r="E410" s="5">
        <v>42156.198379629626</v>
      </c>
      <c r="F410" t="s">
        <v>799</v>
      </c>
      <c r="G410" s="6">
        <v>-2432</v>
      </c>
    </row>
    <row r="411" spans="1:7" x14ac:dyDescent="0.2">
      <c r="A411" t="s">
        <v>7</v>
      </c>
      <c r="B411" t="s">
        <v>800</v>
      </c>
      <c r="C411" t="s">
        <v>801</v>
      </c>
      <c r="D411">
        <v>21257</v>
      </c>
      <c r="E411" s="5">
        <v>42495.678379629629</v>
      </c>
      <c r="F411" t="s">
        <v>801</v>
      </c>
      <c r="G411" s="6">
        <v>-87</v>
      </c>
    </row>
    <row r="412" spans="1:7" x14ac:dyDescent="0.2">
      <c r="A412" t="s">
        <v>7</v>
      </c>
      <c r="B412" t="s">
        <v>802</v>
      </c>
      <c r="C412" t="s">
        <v>803</v>
      </c>
      <c r="D412">
        <v>0</v>
      </c>
      <c r="E412" s="5">
        <v>42156.198379629626</v>
      </c>
      <c r="F412" t="s">
        <v>803</v>
      </c>
      <c r="G412" s="6">
        <v>0</v>
      </c>
    </row>
    <row r="413" spans="1:7" x14ac:dyDescent="0.2">
      <c r="A413" t="s">
        <v>7</v>
      </c>
      <c r="B413" t="s">
        <v>804</v>
      </c>
      <c r="C413" t="s">
        <v>805</v>
      </c>
      <c r="D413">
        <v>121452058</v>
      </c>
      <c r="E413" s="5">
        <v>42080.382511574076</v>
      </c>
      <c r="F413" t="s">
        <v>806</v>
      </c>
      <c r="G413" s="6">
        <v>0</v>
      </c>
    </row>
    <row r="414" spans="1:7" x14ac:dyDescent="0.2">
      <c r="A414" t="s">
        <v>7</v>
      </c>
      <c r="B414" t="s">
        <v>807</v>
      </c>
      <c r="C414" t="s">
        <v>805</v>
      </c>
      <c r="D414">
        <v>1431</v>
      </c>
      <c r="E414" s="5">
        <v>42377.694050925929</v>
      </c>
      <c r="F414" t="s">
        <v>805</v>
      </c>
      <c r="G414" s="6">
        <v>0</v>
      </c>
    </row>
    <row r="415" spans="1:7" x14ac:dyDescent="0.2">
      <c r="A415" t="s">
        <v>7</v>
      </c>
      <c r="B415" t="s">
        <v>808</v>
      </c>
      <c r="C415" t="s">
        <v>809</v>
      </c>
      <c r="D415">
        <v>67114</v>
      </c>
      <c r="E415" s="5">
        <v>42156.204618055555</v>
      </c>
      <c r="F415" t="s">
        <v>809</v>
      </c>
      <c r="G415" s="6">
        <v>-93</v>
      </c>
    </row>
    <row r="416" spans="1:7" x14ac:dyDescent="0.2">
      <c r="A416" t="s">
        <v>7</v>
      </c>
      <c r="B416" t="s">
        <v>810</v>
      </c>
      <c r="C416" t="s">
        <v>811</v>
      </c>
      <c r="D416">
        <v>146800</v>
      </c>
      <c r="E416" s="5">
        <v>42080.382511574076</v>
      </c>
      <c r="F416" t="s">
        <v>812</v>
      </c>
      <c r="G416" s="6">
        <v>0</v>
      </c>
    </row>
    <row r="417" spans="1:7" x14ac:dyDescent="0.2">
      <c r="A417" t="s">
        <v>7</v>
      </c>
      <c r="B417" t="s">
        <v>813</v>
      </c>
      <c r="C417" t="s">
        <v>814</v>
      </c>
      <c r="D417">
        <v>3416475</v>
      </c>
      <c r="E417" s="5">
        <v>42156.204652777778</v>
      </c>
      <c r="F417" t="s">
        <v>814</v>
      </c>
      <c r="G417" s="6">
        <v>-78794</v>
      </c>
    </row>
    <row r="418" spans="1:7" x14ac:dyDescent="0.2">
      <c r="A418" t="s">
        <v>7</v>
      </c>
      <c r="B418" t="s">
        <v>815</v>
      </c>
      <c r="C418" t="s">
        <v>816</v>
      </c>
      <c r="D418">
        <v>78</v>
      </c>
      <c r="E418" s="5">
        <v>42156.204710648148</v>
      </c>
      <c r="F418" t="s">
        <v>816</v>
      </c>
      <c r="G418" s="6">
        <v>-1</v>
      </c>
    </row>
    <row r="419" spans="1:7" x14ac:dyDescent="0.2">
      <c r="A419" t="s">
        <v>7</v>
      </c>
      <c r="B419" t="s">
        <v>817</v>
      </c>
      <c r="C419" t="s">
        <v>818</v>
      </c>
      <c r="D419">
        <v>1568268</v>
      </c>
      <c r="E419" s="5">
        <v>42565.585266203707</v>
      </c>
      <c r="F419" t="s">
        <v>818</v>
      </c>
      <c r="G419" s="6">
        <v>-94655</v>
      </c>
    </row>
    <row r="420" spans="1:7" x14ac:dyDescent="0.2">
      <c r="A420" t="s">
        <v>7</v>
      </c>
      <c r="B420" t="s">
        <v>819</v>
      </c>
      <c r="C420" t="s">
        <v>820</v>
      </c>
      <c r="D420">
        <v>4329</v>
      </c>
      <c r="E420" s="5">
        <v>42617.95453703704</v>
      </c>
      <c r="F420" t="s">
        <v>820</v>
      </c>
      <c r="G420" s="6">
        <v>65</v>
      </c>
    </row>
    <row r="421" spans="1:7" x14ac:dyDescent="0.2">
      <c r="A421" t="s">
        <v>7</v>
      </c>
      <c r="B421" t="s">
        <v>821</v>
      </c>
      <c r="C421" t="s">
        <v>822</v>
      </c>
      <c r="D421">
        <v>11884</v>
      </c>
      <c r="E421" s="5">
        <v>42156.204710648148</v>
      </c>
      <c r="F421" t="s">
        <v>822</v>
      </c>
      <c r="G421" s="6">
        <v>-11</v>
      </c>
    </row>
    <row r="422" spans="1:7" x14ac:dyDescent="0.2">
      <c r="A422" t="s">
        <v>7</v>
      </c>
      <c r="B422" t="s">
        <v>823</v>
      </c>
      <c r="C422" t="s">
        <v>824</v>
      </c>
      <c r="D422">
        <v>13620</v>
      </c>
      <c r="E422" s="5">
        <v>42156.204722222225</v>
      </c>
      <c r="F422" t="s">
        <v>824</v>
      </c>
      <c r="G422" s="6">
        <v>-373</v>
      </c>
    </row>
    <row r="423" spans="1:7" x14ac:dyDescent="0.2">
      <c r="A423" t="s">
        <v>7</v>
      </c>
      <c r="B423" t="s">
        <v>825</v>
      </c>
      <c r="C423" t="s">
        <v>826</v>
      </c>
      <c r="D423">
        <v>19758</v>
      </c>
      <c r="E423" s="5">
        <v>42156.204722222225</v>
      </c>
      <c r="F423" t="s">
        <v>826</v>
      </c>
      <c r="G423" s="6">
        <v>-39</v>
      </c>
    </row>
    <row r="424" spans="1:7" x14ac:dyDescent="0.2">
      <c r="A424" t="s">
        <v>7</v>
      </c>
      <c r="B424" t="s">
        <v>827</v>
      </c>
      <c r="C424" t="s">
        <v>828</v>
      </c>
      <c r="D424">
        <v>2315945</v>
      </c>
      <c r="E424" s="5">
        <v>42156.204722222225</v>
      </c>
      <c r="F424" t="s">
        <v>828</v>
      </c>
      <c r="G424" s="6">
        <v>-34399</v>
      </c>
    </row>
    <row r="425" spans="1:7" x14ac:dyDescent="0.2">
      <c r="A425" t="s">
        <v>7</v>
      </c>
      <c r="B425" t="s">
        <v>829</v>
      </c>
      <c r="C425" t="s">
        <v>830</v>
      </c>
      <c r="D425">
        <v>65743</v>
      </c>
      <c r="E425" s="5">
        <v>42156.204826388886</v>
      </c>
      <c r="F425" t="s">
        <v>830</v>
      </c>
      <c r="G425" s="6">
        <v>-206</v>
      </c>
    </row>
    <row r="426" spans="1:7" x14ac:dyDescent="0.2">
      <c r="A426" t="s">
        <v>7</v>
      </c>
      <c r="B426" t="s">
        <v>831</v>
      </c>
      <c r="C426" t="s">
        <v>832</v>
      </c>
      <c r="D426">
        <v>4812</v>
      </c>
      <c r="E426" s="5">
        <v>42482.921342592592</v>
      </c>
      <c r="F426" t="s">
        <v>832</v>
      </c>
      <c r="G426" s="6">
        <v>-333</v>
      </c>
    </row>
    <row r="427" spans="1:7" x14ac:dyDescent="0.2">
      <c r="A427" t="s">
        <v>7</v>
      </c>
      <c r="B427" t="s">
        <v>833</v>
      </c>
      <c r="C427" t="s">
        <v>834</v>
      </c>
      <c r="D427">
        <v>28122</v>
      </c>
      <c r="E427" s="5">
        <v>42156.204837962963</v>
      </c>
      <c r="F427" t="s">
        <v>834</v>
      </c>
      <c r="G427" s="6">
        <v>-41</v>
      </c>
    </row>
    <row r="428" spans="1:7" x14ac:dyDescent="0.2">
      <c r="A428" t="s">
        <v>7</v>
      </c>
      <c r="B428" t="s">
        <v>835</v>
      </c>
      <c r="C428" t="s">
        <v>836</v>
      </c>
      <c r="D428">
        <v>12945</v>
      </c>
      <c r="E428" s="5">
        <v>42156.20484953704</v>
      </c>
      <c r="F428" t="s">
        <v>836</v>
      </c>
      <c r="G428" s="6">
        <v>-113</v>
      </c>
    </row>
    <row r="429" spans="1:7" x14ac:dyDescent="0.2">
      <c r="A429" t="s">
        <v>7</v>
      </c>
      <c r="B429" t="s">
        <v>837</v>
      </c>
      <c r="C429" t="s">
        <v>838</v>
      </c>
      <c r="D429">
        <v>1001414</v>
      </c>
      <c r="E429" s="5">
        <v>42156.20484953704</v>
      </c>
      <c r="F429" t="s">
        <v>838</v>
      </c>
      <c r="G429" s="6">
        <v>-23170</v>
      </c>
    </row>
    <row r="430" spans="1:7" x14ac:dyDescent="0.2">
      <c r="A430" t="s">
        <v>7</v>
      </c>
      <c r="B430" t="s">
        <v>839</v>
      </c>
      <c r="C430" t="s">
        <v>840</v>
      </c>
      <c r="D430">
        <v>3625</v>
      </c>
      <c r="E430" s="5">
        <v>42156.204930555556</v>
      </c>
      <c r="F430" t="s">
        <v>840</v>
      </c>
      <c r="G430" s="6">
        <v>-10</v>
      </c>
    </row>
    <row r="431" spans="1:7" x14ac:dyDescent="0.2">
      <c r="A431" t="s">
        <v>7</v>
      </c>
      <c r="B431" t="s">
        <v>841</v>
      </c>
      <c r="C431" t="s">
        <v>38</v>
      </c>
      <c r="D431">
        <v>42</v>
      </c>
      <c r="E431" s="5">
        <v>42156.204930555556</v>
      </c>
      <c r="F431" t="s">
        <v>38</v>
      </c>
      <c r="G431" s="6">
        <v>0</v>
      </c>
    </row>
    <row r="432" spans="1:7" x14ac:dyDescent="0.2">
      <c r="A432" t="s">
        <v>7</v>
      </c>
      <c r="B432" t="s">
        <v>842</v>
      </c>
      <c r="C432" t="s">
        <v>843</v>
      </c>
      <c r="D432">
        <v>87906</v>
      </c>
      <c r="E432" s="5">
        <v>42156.204930555556</v>
      </c>
      <c r="F432" t="s">
        <v>843</v>
      </c>
      <c r="G432" s="6">
        <v>0</v>
      </c>
    </row>
    <row r="433" spans="1:7" x14ac:dyDescent="0.2">
      <c r="A433" t="s">
        <v>7</v>
      </c>
      <c r="B433" t="s">
        <v>844</v>
      </c>
      <c r="C433" t="s">
        <v>38</v>
      </c>
      <c r="D433">
        <v>243264</v>
      </c>
      <c r="E433" s="5">
        <v>42438.638495370367</v>
      </c>
      <c r="F433" t="s">
        <v>38</v>
      </c>
      <c r="G433" s="6">
        <v>-4416</v>
      </c>
    </row>
    <row r="434" spans="1:7" x14ac:dyDescent="0.2">
      <c r="A434" t="s">
        <v>7</v>
      </c>
      <c r="B434" t="s">
        <v>845</v>
      </c>
      <c r="C434" t="s">
        <v>846</v>
      </c>
      <c r="D434">
        <v>167811</v>
      </c>
      <c r="E434" s="5">
        <v>42156.204965277779</v>
      </c>
      <c r="F434" t="s">
        <v>846</v>
      </c>
      <c r="G434" s="6">
        <v>-4</v>
      </c>
    </row>
    <row r="435" spans="1:7" x14ac:dyDescent="0.2">
      <c r="A435" t="s">
        <v>7</v>
      </c>
      <c r="B435" t="s">
        <v>847</v>
      </c>
      <c r="C435" t="s">
        <v>848</v>
      </c>
      <c r="D435">
        <v>76994</v>
      </c>
      <c r="E435" s="5">
        <v>42156.204965277779</v>
      </c>
      <c r="F435" t="s">
        <v>848</v>
      </c>
      <c r="G435" s="6">
        <v>573</v>
      </c>
    </row>
    <row r="436" spans="1:7" x14ac:dyDescent="0.2">
      <c r="A436" t="s">
        <v>7</v>
      </c>
      <c r="B436" t="s">
        <v>849</v>
      </c>
      <c r="C436" t="s">
        <v>38</v>
      </c>
      <c r="D436">
        <v>31005</v>
      </c>
      <c r="E436" s="5">
        <v>42362.660937499997</v>
      </c>
      <c r="F436" t="s">
        <v>38</v>
      </c>
      <c r="G436" s="6">
        <v>0</v>
      </c>
    </row>
    <row r="437" spans="1:7" x14ac:dyDescent="0.2">
      <c r="A437" t="s">
        <v>7</v>
      </c>
      <c r="B437" t="s">
        <v>850</v>
      </c>
      <c r="C437" t="s">
        <v>851</v>
      </c>
      <c r="D437">
        <v>39669</v>
      </c>
      <c r="E437" s="5">
        <v>42156.204976851855</v>
      </c>
      <c r="F437" t="s">
        <v>851</v>
      </c>
      <c r="G437" s="6">
        <v>-113</v>
      </c>
    </row>
    <row r="438" spans="1:7" x14ac:dyDescent="0.2">
      <c r="A438" t="s">
        <v>7</v>
      </c>
      <c r="B438" t="s">
        <v>852</v>
      </c>
      <c r="C438" t="s">
        <v>853</v>
      </c>
      <c r="E438" s="5"/>
      <c r="F438" t="s">
        <v>853</v>
      </c>
      <c r="G438" s="6"/>
    </row>
    <row r="439" spans="1:7" x14ac:dyDescent="0.2">
      <c r="A439" t="s">
        <v>7</v>
      </c>
      <c r="B439" t="s">
        <v>854</v>
      </c>
      <c r="C439" t="s">
        <v>853</v>
      </c>
      <c r="E439" s="5"/>
      <c r="F439" t="s">
        <v>853</v>
      </c>
      <c r="G439" s="6"/>
    </row>
    <row r="440" spans="1:7" x14ac:dyDescent="0.2">
      <c r="A440" t="s">
        <v>7</v>
      </c>
      <c r="B440" t="s">
        <v>855</v>
      </c>
      <c r="C440" t="s">
        <v>853</v>
      </c>
      <c r="E440" s="5"/>
      <c r="F440" t="s">
        <v>853</v>
      </c>
      <c r="G440" s="6"/>
    </row>
    <row r="441" spans="1:7" x14ac:dyDescent="0.2">
      <c r="A441" t="s">
        <v>7</v>
      </c>
      <c r="B441" t="s">
        <v>856</v>
      </c>
      <c r="C441" t="s">
        <v>853</v>
      </c>
      <c r="E441" s="5"/>
      <c r="F441" t="s">
        <v>853</v>
      </c>
      <c r="G441" s="6"/>
    </row>
    <row r="442" spans="1:7" x14ac:dyDescent="0.2">
      <c r="A442" t="s">
        <v>7</v>
      </c>
      <c r="B442" t="s">
        <v>857</v>
      </c>
      <c r="C442" t="s">
        <v>858</v>
      </c>
      <c r="D442">
        <v>382077</v>
      </c>
      <c r="E442" s="5">
        <v>42080.382523148146</v>
      </c>
      <c r="F442" t="s">
        <v>859</v>
      </c>
      <c r="G442" s="6">
        <v>-8381</v>
      </c>
    </row>
    <row r="443" spans="1:7" x14ac:dyDescent="0.2">
      <c r="A443" t="s">
        <v>7</v>
      </c>
      <c r="B443" t="s">
        <v>860</v>
      </c>
      <c r="C443" t="s">
        <v>38</v>
      </c>
      <c r="D443">
        <v>2598</v>
      </c>
      <c r="E443" s="5">
        <v>42541.846284722225</v>
      </c>
      <c r="F443" t="s">
        <v>38</v>
      </c>
      <c r="G443" s="6">
        <v>0</v>
      </c>
    </row>
    <row r="444" spans="1:7" x14ac:dyDescent="0.2">
      <c r="A444" t="s">
        <v>7</v>
      </c>
      <c r="B444" t="s">
        <v>861</v>
      </c>
      <c r="C444" t="s">
        <v>38</v>
      </c>
      <c r="D444">
        <v>6663</v>
      </c>
      <c r="E444" s="5">
        <v>42618.547881944447</v>
      </c>
      <c r="F444" t="s">
        <v>38</v>
      </c>
      <c r="G444" s="6">
        <v>0</v>
      </c>
    </row>
    <row r="445" spans="1:7" x14ac:dyDescent="0.2">
      <c r="A445" t="s">
        <v>7</v>
      </c>
      <c r="B445" t="s">
        <v>862</v>
      </c>
      <c r="C445" t="s">
        <v>863</v>
      </c>
      <c r="D445">
        <v>382949</v>
      </c>
      <c r="E445" s="5">
        <v>42156.205011574071</v>
      </c>
      <c r="F445" t="s">
        <v>863</v>
      </c>
      <c r="G445" s="6">
        <v>-5304</v>
      </c>
    </row>
    <row r="446" spans="1:7" x14ac:dyDescent="0.2">
      <c r="A446" t="s">
        <v>7</v>
      </c>
      <c r="B446" t="s">
        <v>864</v>
      </c>
      <c r="C446" t="s">
        <v>865</v>
      </c>
      <c r="D446">
        <v>1930</v>
      </c>
      <c r="E446" s="5">
        <v>42391.565729166665</v>
      </c>
      <c r="F446" t="s">
        <v>865</v>
      </c>
      <c r="G446" s="6">
        <v>-18</v>
      </c>
    </row>
    <row r="447" spans="1:7" x14ac:dyDescent="0.2">
      <c r="A447" t="s">
        <v>7</v>
      </c>
      <c r="B447" t="s">
        <v>866</v>
      </c>
      <c r="C447" t="s">
        <v>867</v>
      </c>
      <c r="D447">
        <v>602542</v>
      </c>
      <c r="E447" s="5">
        <v>42080.382523148146</v>
      </c>
      <c r="F447" t="s">
        <v>868</v>
      </c>
      <c r="G447" s="6">
        <v>-10967</v>
      </c>
    </row>
    <row r="448" spans="1:7" x14ac:dyDescent="0.2">
      <c r="A448" t="s">
        <v>7</v>
      </c>
      <c r="B448" t="s">
        <v>869</v>
      </c>
      <c r="C448" t="s">
        <v>870</v>
      </c>
      <c r="D448">
        <v>1411</v>
      </c>
      <c r="E448" s="5">
        <v>42080.382523148146</v>
      </c>
      <c r="F448" t="s">
        <v>871</v>
      </c>
      <c r="G448" s="6">
        <v>0</v>
      </c>
    </row>
    <row r="449" spans="1:7" x14ac:dyDescent="0.2">
      <c r="A449" t="s">
        <v>7</v>
      </c>
      <c r="B449" t="s">
        <v>872</v>
      </c>
      <c r="C449" t="s">
        <v>873</v>
      </c>
      <c r="D449">
        <v>23618</v>
      </c>
      <c r="E449" s="5">
        <v>42080.382523148146</v>
      </c>
      <c r="F449" t="s">
        <v>874</v>
      </c>
      <c r="G449" s="6">
        <v>0</v>
      </c>
    </row>
    <row r="450" spans="1:7" x14ac:dyDescent="0.2">
      <c r="A450" t="s">
        <v>7</v>
      </c>
      <c r="B450" t="s">
        <v>875</v>
      </c>
      <c r="C450" t="s">
        <v>38</v>
      </c>
      <c r="D450">
        <v>0</v>
      </c>
      <c r="E450" s="5">
        <v>42326.969444444447</v>
      </c>
      <c r="F450" t="s">
        <v>38</v>
      </c>
      <c r="G450" s="6">
        <v>0</v>
      </c>
    </row>
    <row r="451" spans="1:7" x14ac:dyDescent="0.2">
      <c r="A451" t="s">
        <v>7</v>
      </c>
      <c r="B451" t="s">
        <v>876</v>
      </c>
      <c r="C451" t="s">
        <v>38</v>
      </c>
      <c r="D451">
        <v>0</v>
      </c>
      <c r="E451" s="5">
        <v>42326.969444444447</v>
      </c>
      <c r="F451" t="s">
        <v>38</v>
      </c>
      <c r="G451" s="6">
        <v>0</v>
      </c>
    </row>
    <row r="452" spans="1:7" x14ac:dyDescent="0.2">
      <c r="A452" t="s">
        <v>7</v>
      </c>
      <c r="B452" t="s">
        <v>877</v>
      </c>
      <c r="C452" t="s">
        <v>38</v>
      </c>
      <c r="D452">
        <v>0</v>
      </c>
      <c r="E452" s="5">
        <v>42326.969444444447</v>
      </c>
      <c r="F452" t="s">
        <v>38</v>
      </c>
      <c r="G452" s="6">
        <v>0</v>
      </c>
    </row>
    <row r="453" spans="1:7" x14ac:dyDescent="0.2">
      <c r="A453" t="s">
        <v>7</v>
      </c>
      <c r="B453" t="s">
        <v>878</v>
      </c>
      <c r="C453" t="s">
        <v>38</v>
      </c>
      <c r="D453">
        <v>0</v>
      </c>
      <c r="E453" s="5">
        <v>42326.969444444447</v>
      </c>
      <c r="F453" t="s">
        <v>38</v>
      </c>
      <c r="G453" s="6">
        <v>0</v>
      </c>
    </row>
    <row r="454" spans="1:7" x14ac:dyDescent="0.2">
      <c r="A454" t="s">
        <v>7</v>
      </c>
      <c r="B454" t="s">
        <v>879</v>
      </c>
      <c r="C454" t="s">
        <v>880</v>
      </c>
      <c r="D454">
        <v>0</v>
      </c>
      <c r="E454" s="5">
        <v>42080.382523148146</v>
      </c>
      <c r="F454" t="s">
        <v>880</v>
      </c>
      <c r="G454" s="6">
        <v>0</v>
      </c>
    </row>
    <row r="455" spans="1:7" x14ac:dyDescent="0.2">
      <c r="A455" t="s">
        <v>7</v>
      </c>
      <c r="B455" t="s">
        <v>881</v>
      </c>
      <c r="C455" t="s">
        <v>882</v>
      </c>
      <c r="D455">
        <v>0</v>
      </c>
      <c r="E455" s="5">
        <v>42080.382523148146</v>
      </c>
      <c r="F455" t="s">
        <v>883</v>
      </c>
      <c r="G455" s="6">
        <v>0</v>
      </c>
    </row>
    <row r="456" spans="1:7" x14ac:dyDescent="0.2">
      <c r="A456" t="s">
        <v>7</v>
      </c>
      <c r="B456" t="s">
        <v>884</v>
      </c>
      <c r="C456" t="s">
        <v>38</v>
      </c>
      <c r="D456">
        <v>2000</v>
      </c>
      <c r="E456" s="5">
        <v>42188.741643518515</v>
      </c>
      <c r="F456" t="s">
        <v>38</v>
      </c>
      <c r="G456" s="6">
        <v>0</v>
      </c>
    </row>
    <row r="457" spans="1:7" x14ac:dyDescent="0.2">
      <c r="A457" t="s">
        <v>7</v>
      </c>
      <c r="B457" t="s">
        <v>885</v>
      </c>
      <c r="C457" t="s">
        <v>886</v>
      </c>
      <c r="D457">
        <v>1172748</v>
      </c>
      <c r="E457" s="5">
        <v>42156.20511574074</v>
      </c>
      <c r="F457" t="s">
        <v>886</v>
      </c>
      <c r="G457" s="6">
        <v>-20465</v>
      </c>
    </row>
    <row r="458" spans="1:7" x14ac:dyDescent="0.2">
      <c r="A458" t="s">
        <v>7</v>
      </c>
      <c r="B458" t="s">
        <v>887</v>
      </c>
      <c r="C458" t="s">
        <v>888</v>
      </c>
      <c r="D458">
        <v>196</v>
      </c>
      <c r="E458" s="5">
        <v>42585.740624999999</v>
      </c>
      <c r="F458" t="s">
        <v>888</v>
      </c>
      <c r="G458" s="6">
        <v>-7</v>
      </c>
    </row>
    <row r="459" spans="1:7" x14ac:dyDescent="0.2">
      <c r="A459" t="s">
        <v>7</v>
      </c>
      <c r="B459" t="s">
        <v>889</v>
      </c>
      <c r="C459" t="s">
        <v>890</v>
      </c>
      <c r="D459">
        <v>2192</v>
      </c>
      <c r="E459" s="5">
        <v>42080.382534722223</v>
      </c>
      <c r="F459" t="s">
        <v>891</v>
      </c>
      <c r="G459" s="6">
        <v>0</v>
      </c>
    </row>
    <row r="460" spans="1:7" x14ac:dyDescent="0.2">
      <c r="A460" t="s">
        <v>7</v>
      </c>
      <c r="B460" t="s">
        <v>892</v>
      </c>
      <c r="C460" t="s">
        <v>893</v>
      </c>
      <c r="D460">
        <v>609908</v>
      </c>
      <c r="E460" s="5">
        <v>42080.382534722223</v>
      </c>
      <c r="F460" t="s">
        <v>894</v>
      </c>
      <c r="G460" s="6">
        <v>-6047</v>
      </c>
    </row>
    <row r="461" spans="1:7" x14ac:dyDescent="0.2">
      <c r="A461" t="s">
        <v>7</v>
      </c>
      <c r="B461" t="s">
        <v>895</v>
      </c>
      <c r="C461" t="s">
        <v>896</v>
      </c>
      <c r="D461">
        <v>541225</v>
      </c>
      <c r="E461" s="5">
        <v>42080.382534722223</v>
      </c>
      <c r="F461" t="s">
        <v>896</v>
      </c>
      <c r="G461" s="6">
        <v>-6581</v>
      </c>
    </row>
    <row r="462" spans="1:7" x14ac:dyDescent="0.2">
      <c r="A462" t="s">
        <v>7</v>
      </c>
      <c r="B462" t="s">
        <v>897</v>
      </c>
      <c r="C462" t="s">
        <v>898</v>
      </c>
      <c r="D462">
        <v>169465</v>
      </c>
      <c r="E462" s="5">
        <v>42450.692754629628</v>
      </c>
      <c r="F462" t="s">
        <v>898</v>
      </c>
      <c r="G462" s="6">
        <v>-8033</v>
      </c>
    </row>
    <row r="463" spans="1:7" x14ac:dyDescent="0.2">
      <c r="A463" t="s">
        <v>7</v>
      </c>
      <c r="B463" t="s">
        <v>899</v>
      </c>
      <c r="C463" t="s">
        <v>900</v>
      </c>
      <c r="D463">
        <v>34</v>
      </c>
      <c r="E463" s="5">
        <v>42243.805601851855</v>
      </c>
      <c r="F463" t="s">
        <v>900</v>
      </c>
      <c r="G463" s="6">
        <v>0</v>
      </c>
    </row>
    <row r="464" spans="1:7" x14ac:dyDescent="0.2">
      <c r="A464" t="s">
        <v>901</v>
      </c>
      <c r="B464" t="s">
        <v>902</v>
      </c>
      <c r="C464" t="s">
        <v>38</v>
      </c>
      <c r="D464">
        <v>149</v>
      </c>
      <c r="E464" s="5">
        <v>42475.552731481483</v>
      </c>
      <c r="F464" t="s">
        <v>38</v>
      </c>
      <c r="G464" s="6">
        <v>0</v>
      </c>
    </row>
    <row r="465" spans="1:7" x14ac:dyDescent="0.2">
      <c r="A465" t="s">
        <v>901</v>
      </c>
      <c r="B465" t="s">
        <v>903</v>
      </c>
      <c r="C465" t="s">
        <v>38</v>
      </c>
      <c r="D465">
        <v>350598</v>
      </c>
      <c r="E465" s="5">
        <v>42475.552731481483</v>
      </c>
      <c r="F465" t="s">
        <v>38</v>
      </c>
      <c r="G465" s="6">
        <v>-1409</v>
      </c>
    </row>
    <row r="466" spans="1:7" x14ac:dyDescent="0.2">
      <c r="A466" t="s">
        <v>901</v>
      </c>
      <c r="B466" t="s">
        <v>904</v>
      </c>
      <c r="C466" t="s">
        <v>38</v>
      </c>
      <c r="D466">
        <v>61</v>
      </c>
      <c r="E466" s="5">
        <v>42520.665949074071</v>
      </c>
      <c r="F466" t="s">
        <v>38</v>
      </c>
      <c r="G466" s="6">
        <v>0</v>
      </c>
    </row>
    <row r="467" spans="1:7" x14ac:dyDescent="0.2">
      <c r="A467" t="s">
        <v>901</v>
      </c>
      <c r="B467" t="s">
        <v>905</v>
      </c>
      <c r="C467" t="s">
        <v>38</v>
      </c>
      <c r="D467">
        <v>3167330</v>
      </c>
      <c r="E467" s="5">
        <v>42475.552731481483</v>
      </c>
      <c r="F467" t="s">
        <v>38</v>
      </c>
      <c r="G467" s="6">
        <v>-65975</v>
      </c>
    </row>
    <row r="468" spans="1:7" x14ac:dyDescent="0.2">
      <c r="A468" t="s">
        <v>901</v>
      </c>
      <c r="B468" t="s">
        <v>906</v>
      </c>
      <c r="C468" t="s">
        <v>38</v>
      </c>
      <c r="D468">
        <v>3252907</v>
      </c>
      <c r="E468" s="5">
        <v>42502.478541666664</v>
      </c>
      <c r="F468" t="s">
        <v>38</v>
      </c>
      <c r="G468" s="6">
        <v>-64938</v>
      </c>
    </row>
    <row r="469" spans="1:7" x14ac:dyDescent="0.2">
      <c r="A469" t="s">
        <v>901</v>
      </c>
      <c r="B469" t="s">
        <v>907</v>
      </c>
      <c r="C469" t="s">
        <v>38</v>
      </c>
      <c r="D469">
        <v>14952861</v>
      </c>
      <c r="E469" s="5">
        <v>42475.552731481483</v>
      </c>
      <c r="F469" t="s">
        <v>38</v>
      </c>
      <c r="G469" s="6">
        <v>-397326</v>
      </c>
    </row>
    <row r="470" spans="1:7" x14ac:dyDescent="0.2">
      <c r="A470" t="s">
        <v>901</v>
      </c>
      <c r="B470" t="s">
        <v>908</v>
      </c>
      <c r="C470" t="s">
        <v>38</v>
      </c>
      <c r="D470">
        <v>0</v>
      </c>
      <c r="E470" s="5">
        <v>42475.552731481483</v>
      </c>
      <c r="F470" t="s">
        <v>38</v>
      </c>
      <c r="G470" s="6">
        <v>0</v>
      </c>
    </row>
    <row r="471" spans="1:7" x14ac:dyDescent="0.2">
      <c r="A471" t="s">
        <v>909</v>
      </c>
      <c r="B471" t="s">
        <v>910</v>
      </c>
      <c r="C471" t="s">
        <v>911</v>
      </c>
      <c r="D471">
        <v>4381</v>
      </c>
      <c r="E471" s="5">
        <v>42532.911527777775</v>
      </c>
      <c r="F471" t="s">
        <v>911</v>
      </c>
      <c r="G471" s="6">
        <v>0</v>
      </c>
    </row>
    <row r="472" spans="1:7" x14ac:dyDescent="0.2">
      <c r="A472" t="s">
        <v>909</v>
      </c>
      <c r="B472" t="s">
        <v>912</v>
      </c>
      <c r="C472" t="s">
        <v>913</v>
      </c>
      <c r="D472">
        <v>4814</v>
      </c>
      <c r="E472" s="5">
        <v>42532.911527777775</v>
      </c>
      <c r="F472" t="s">
        <v>913</v>
      </c>
      <c r="G472" s="6">
        <v>0</v>
      </c>
    </row>
    <row r="473" spans="1:7" x14ac:dyDescent="0.2">
      <c r="A473" t="s">
        <v>909</v>
      </c>
      <c r="B473" t="s">
        <v>914</v>
      </c>
      <c r="C473" t="s">
        <v>915</v>
      </c>
      <c r="D473">
        <v>0</v>
      </c>
      <c r="E473" s="5">
        <v>42532.911527777775</v>
      </c>
      <c r="F473" t="s">
        <v>915</v>
      </c>
      <c r="G473" s="6">
        <v>0</v>
      </c>
    </row>
    <row r="474" spans="1:7" x14ac:dyDescent="0.2">
      <c r="A474" t="s">
        <v>909</v>
      </c>
      <c r="B474" t="s">
        <v>916</v>
      </c>
      <c r="C474" t="s">
        <v>38</v>
      </c>
      <c r="D474">
        <v>5081</v>
      </c>
      <c r="E474" s="5">
        <v>42532.911527777775</v>
      </c>
      <c r="F474" t="s">
        <v>38</v>
      </c>
      <c r="G474" s="6">
        <v>0</v>
      </c>
    </row>
    <row r="475" spans="1:7" x14ac:dyDescent="0.2">
      <c r="A475" t="s">
        <v>909</v>
      </c>
      <c r="B475" t="s">
        <v>917</v>
      </c>
      <c r="C475" t="s">
        <v>62</v>
      </c>
      <c r="D475">
        <v>0</v>
      </c>
      <c r="E475" s="5">
        <v>42532.911527777775</v>
      </c>
      <c r="F475" t="s">
        <v>62</v>
      </c>
      <c r="G475" s="6">
        <v>0</v>
      </c>
    </row>
    <row r="476" spans="1:7" x14ac:dyDescent="0.2">
      <c r="A476" t="s">
        <v>909</v>
      </c>
      <c r="B476" t="s">
        <v>918</v>
      </c>
      <c r="C476" t="s">
        <v>919</v>
      </c>
      <c r="D476">
        <v>0</v>
      </c>
      <c r="E476" s="5">
        <v>42617.8671875</v>
      </c>
      <c r="F476" t="s">
        <v>919</v>
      </c>
      <c r="G476" s="6">
        <v>0</v>
      </c>
    </row>
    <row r="477" spans="1:7" x14ac:dyDescent="0.2">
      <c r="A477" t="s">
        <v>909</v>
      </c>
      <c r="B477" t="s">
        <v>920</v>
      </c>
      <c r="C477" t="s">
        <v>921</v>
      </c>
      <c r="D477">
        <v>0</v>
      </c>
      <c r="E477" s="5">
        <v>42617.8671875</v>
      </c>
      <c r="F477" t="s">
        <v>921</v>
      </c>
      <c r="G477" s="6">
        <v>0</v>
      </c>
    </row>
    <row r="478" spans="1:7" x14ac:dyDescent="0.2">
      <c r="A478" t="s">
        <v>909</v>
      </c>
      <c r="B478" t="s">
        <v>922</v>
      </c>
      <c r="C478" t="s">
        <v>923</v>
      </c>
      <c r="D478">
        <v>45074</v>
      </c>
      <c r="E478" s="5">
        <v>42532.911527777775</v>
      </c>
      <c r="F478" t="s">
        <v>923</v>
      </c>
      <c r="G478" s="6">
        <v>930</v>
      </c>
    </row>
    <row r="479" spans="1:7" x14ac:dyDescent="0.2">
      <c r="A479" t="s">
        <v>909</v>
      </c>
      <c r="B479" t="s">
        <v>924</v>
      </c>
      <c r="C479" t="s">
        <v>925</v>
      </c>
      <c r="D479">
        <v>13631</v>
      </c>
      <c r="E479" s="5">
        <v>42532.911527777775</v>
      </c>
      <c r="F479" t="s">
        <v>925</v>
      </c>
      <c r="G479" s="6">
        <v>50</v>
      </c>
    </row>
    <row r="480" spans="1:7" x14ac:dyDescent="0.2">
      <c r="A480" t="s">
        <v>909</v>
      </c>
      <c r="B480" t="s">
        <v>926</v>
      </c>
      <c r="C480" t="s">
        <v>927</v>
      </c>
      <c r="D480">
        <v>106437</v>
      </c>
      <c r="E480" s="5">
        <v>42532.911527777775</v>
      </c>
      <c r="F480" t="s">
        <v>927</v>
      </c>
      <c r="G480" s="6">
        <v>1925</v>
      </c>
    </row>
    <row r="481" spans="1:7" x14ac:dyDescent="0.2">
      <c r="A481" t="s">
        <v>909</v>
      </c>
      <c r="B481" t="s">
        <v>928</v>
      </c>
      <c r="C481" t="s">
        <v>929</v>
      </c>
      <c r="D481">
        <v>91804</v>
      </c>
      <c r="E481" s="5">
        <v>42532.911527777775</v>
      </c>
      <c r="F481" t="s">
        <v>929</v>
      </c>
      <c r="G481" s="6">
        <v>2328</v>
      </c>
    </row>
    <row r="482" spans="1:7" x14ac:dyDescent="0.2">
      <c r="A482" t="s">
        <v>909</v>
      </c>
      <c r="B482" t="s">
        <v>930</v>
      </c>
      <c r="C482" t="s">
        <v>931</v>
      </c>
      <c r="D482">
        <v>0</v>
      </c>
      <c r="E482" s="5">
        <v>42532.911527777775</v>
      </c>
      <c r="F482" t="s">
        <v>931</v>
      </c>
      <c r="G482" s="6">
        <v>0</v>
      </c>
    </row>
    <row r="483" spans="1:7" x14ac:dyDescent="0.2">
      <c r="A483" t="s">
        <v>909</v>
      </c>
      <c r="B483" t="s">
        <v>932</v>
      </c>
      <c r="C483" t="s">
        <v>933</v>
      </c>
      <c r="D483">
        <v>4552</v>
      </c>
      <c r="E483" s="5">
        <v>42565.848865740743</v>
      </c>
      <c r="F483" t="s">
        <v>933</v>
      </c>
      <c r="G483" s="6">
        <v>94</v>
      </c>
    </row>
    <row r="484" spans="1:7" x14ac:dyDescent="0.2">
      <c r="A484" t="s">
        <v>909</v>
      </c>
      <c r="B484" t="s">
        <v>934</v>
      </c>
      <c r="C484" t="s">
        <v>935</v>
      </c>
      <c r="D484">
        <v>0</v>
      </c>
      <c r="E484" s="5">
        <v>42532.911527777775</v>
      </c>
      <c r="F484" t="s">
        <v>935</v>
      </c>
      <c r="G484" s="6">
        <v>0</v>
      </c>
    </row>
    <row r="485" spans="1:7" x14ac:dyDescent="0.2">
      <c r="A485" t="s">
        <v>909</v>
      </c>
      <c r="B485" t="s">
        <v>936</v>
      </c>
      <c r="C485" t="s">
        <v>937</v>
      </c>
      <c r="D485">
        <v>26528</v>
      </c>
      <c r="E485" s="5">
        <v>42532.911527777775</v>
      </c>
      <c r="F485" t="s">
        <v>937</v>
      </c>
      <c r="G485" s="6">
        <v>439</v>
      </c>
    </row>
    <row r="486" spans="1:7" x14ac:dyDescent="0.2">
      <c r="A486" t="s">
        <v>909</v>
      </c>
      <c r="B486" t="s">
        <v>938</v>
      </c>
      <c r="C486" t="s">
        <v>939</v>
      </c>
      <c r="D486">
        <v>27302</v>
      </c>
      <c r="E486" s="5">
        <v>42532.911527777775</v>
      </c>
      <c r="F486" t="s">
        <v>939</v>
      </c>
      <c r="G486" s="6">
        <v>439</v>
      </c>
    </row>
    <row r="487" spans="1:7" x14ac:dyDescent="0.2">
      <c r="A487" t="s">
        <v>909</v>
      </c>
      <c r="B487" t="s">
        <v>940</v>
      </c>
      <c r="C487" t="s">
        <v>941</v>
      </c>
      <c r="D487">
        <v>507</v>
      </c>
      <c r="E487" s="5">
        <v>42600.487025462964</v>
      </c>
      <c r="F487" t="s">
        <v>941</v>
      </c>
      <c r="G487" s="6">
        <v>17</v>
      </c>
    </row>
    <row r="488" spans="1:7" x14ac:dyDescent="0.2">
      <c r="A488" t="s">
        <v>909</v>
      </c>
      <c r="B488" t="s">
        <v>942</v>
      </c>
      <c r="C488" t="s">
        <v>943</v>
      </c>
      <c r="D488">
        <v>14182</v>
      </c>
      <c r="E488" s="5">
        <v>42532.911527777775</v>
      </c>
      <c r="F488" t="s">
        <v>943</v>
      </c>
      <c r="G488" s="6">
        <v>-1383</v>
      </c>
    </row>
    <row r="489" spans="1:7" x14ac:dyDescent="0.2">
      <c r="A489" t="s">
        <v>909</v>
      </c>
      <c r="B489" t="s">
        <v>944</v>
      </c>
      <c r="C489" t="s">
        <v>945</v>
      </c>
      <c r="D489">
        <v>30255</v>
      </c>
      <c r="E489" s="5">
        <v>42532.911527777775</v>
      </c>
      <c r="F489" t="s">
        <v>945</v>
      </c>
      <c r="G489" s="6">
        <v>694</v>
      </c>
    </row>
    <row r="490" spans="1:7" x14ac:dyDescent="0.2">
      <c r="A490" t="s">
        <v>909</v>
      </c>
      <c r="B490" t="s">
        <v>946</v>
      </c>
      <c r="C490" t="s">
        <v>947</v>
      </c>
      <c r="D490">
        <v>97188</v>
      </c>
      <c r="E490" s="5">
        <v>42532.911527777775</v>
      </c>
      <c r="F490" t="s">
        <v>947</v>
      </c>
      <c r="G490" s="6">
        <v>1896</v>
      </c>
    </row>
    <row r="491" spans="1:7" x14ac:dyDescent="0.2">
      <c r="A491" t="s">
        <v>909</v>
      </c>
      <c r="B491" t="s">
        <v>948</v>
      </c>
      <c r="C491" t="s">
        <v>949</v>
      </c>
      <c r="D491">
        <v>38</v>
      </c>
      <c r="E491" s="5">
        <v>42607.696261574078</v>
      </c>
      <c r="F491" t="s">
        <v>949</v>
      </c>
      <c r="G491" s="6">
        <v>0</v>
      </c>
    </row>
    <row r="492" spans="1:7" x14ac:dyDescent="0.2">
      <c r="A492" t="s">
        <v>950</v>
      </c>
      <c r="B492" t="s">
        <v>951</v>
      </c>
      <c r="C492" t="s">
        <v>952</v>
      </c>
      <c r="D492">
        <v>1</v>
      </c>
      <c r="E492" s="5">
        <v>42532.912094907406</v>
      </c>
      <c r="F492" t="s">
        <v>952</v>
      </c>
      <c r="G492" s="6">
        <v>0</v>
      </c>
    </row>
    <row r="493" spans="1:7" x14ac:dyDescent="0.2">
      <c r="A493" t="s">
        <v>950</v>
      </c>
      <c r="B493" t="s">
        <v>953</v>
      </c>
      <c r="C493" t="s">
        <v>954</v>
      </c>
      <c r="D493">
        <v>528</v>
      </c>
      <c r="E493" s="5">
        <v>42532.912094907406</v>
      </c>
      <c r="F493" t="s">
        <v>954</v>
      </c>
      <c r="G493" s="6">
        <v>-12</v>
      </c>
    </row>
    <row r="494" spans="1:7" x14ac:dyDescent="0.2">
      <c r="A494" t="s">
        <v>950</v>
      </c>
      <c r="B494" t="s">
        <v>955</v>
      </c>
      <c r="C494" t="s">
        <v>956</v>
      </c>
      <c r="D494">
        <v>549</v>
      </c>
      <c r="E494" s="5">
        <v>42532.912094907406</v>
      </c>
      <c r="F494" t="s">
        <v>956</v>
      </c>
      <c r="G494" s="6">
        <v>14</v>
      </c>
    </row>
    <row r="495" spans="1:7" x14ac:dyDescent="0.2">
      <c r="A495" t="s">
        <v>950</v>
      </c>
      <c r="B495" t="s">
        <v>957</v>
      </c>
      <c r="C495" t="s">
        <v>958</v>
      </c>
      <c r="D495">
        <v>27</v>
      </c>
      <c r="E495" s="5">
        <v>42607.696261574078</v>
      </c>
      <c r="F495" t="s">
        <v>958</v>
      </c>
      <c r="G495" s="6">
        <v>0</v>
      </c>
    </row>
    <row r="496" spans="1:7" x14ac:dyDescent="0.2">
      <c r="A496" t="s">
        <v>950</v>
      </c>
      <c r="B496" t="s">
        <v>959</v>
      </c>
      <c r="C496" t="s">
        <v>960</v>
      </c>
      <c r="D496">
        <v>112209</v>
      </c>
      <c r="E496" s="5">
        <v>42586.621168981481</v>
      </c>
      <c r="F496" t="s">
        <v>960</v>
      </c>
      <c r="G496" s="6">
        <v>-3239</v>
      </c>
    </row>
    <row r="497" spans="1:7" x14ac:dyDescent="0.2">
      <c r="A497" t="s">
        <v>950</v>
      </c>
      <c r="B497" t="s">
        <v>961</v>
      </c>
      <c r="C497" t="s">
        <v>962</v>
      </c>
      <c r="D497">
        <v>183</v>
      </c>
      <c r="E497" s="5">
        <v>42654.894525462965</v>
      </c>
      <c r="F497" t="s">
        <v>962</v>
      </c>
      <c r="G497" s="6">
        <v>32</v>
      </c>
    </row>
    <row r="498" spans="1:7" x14ac:dyDescent="0.2">
      <c r="A498" t="s">
        <v>950</v>
      </c>
      <c r="B498" t="s">
        <v>963</v>
      </c>
      <c r="C498" t="s">
        <v>964</v>
      </c>
      <c r="D498">
        <v>559</v>
      </c>
      <c r="E498" s="5">
        <v>42532.912094907406</v>
      </c>
      <c r="F498" t="s">
        <v>964</v>
      </c>
      <c r="G498" s="6">
        <v>8</v>
      </c>
    </row>
    <row r="499" spans="1:7" x14ac:dyDescent="0.2">
      <c r="A499" t="s">
        <v>950</v>
      </c>
      <c r="B499" t="s">
        <v>965</v>
      </c>
      <c r="C499" t="s">
        <v>966</v>
      </c>
      <c r="D499">
        <v>551</v>
      </c>
      <c r="E499" s="5">
        <v>42532.912094907406</v>
      </c>
      <c r="F499" t="s">
        <v>966</v>
      </c>
      <c r="G499" s="6">
        <v>0</v>
      </c>
    </row>
    <row r="500" spans="1:7" x14ac:dyDescent="0.2">
      <c r="A500" t="s">
        <v>950</v>
      </c>
      <c r="B500" t="s">
        <v>967</v>
      </c>
      <c r="C500" t="s">
        <v>968</v>
      </c>
      <c r="D500">
        <v>574</v>
      </c>
      <c r="E500" s="5">
        <v>42532.912094907406</v>
      </c>
      <c r="F500" t="s">
        <v>968</v>
      </c>
      <c r="G500" s="6">
        <v>14</v>
      </c>
    </row>
    <row r="501" spans="1:7" x14ac:dyDescent="0.2">
      <c r="A501" t="s">
        <v>950</v>
      </c>
      <c r="B501" t="s">
        <v>969</v>
      </c>
      <c r="C501" t="s">
        <v>970</v>
      </c>
      <c r="D501">
        <v>548</v>
      </c>
      <c r="E501" s="5">
        <v>42532.912094907406</v>
      </c>
      <c r="F501" t="s">
        <v>970</v>
      </c>
      <c r="G501" s="6">
        <v>8</v>
      </c>
    </row>
    <row r="502" spans="1:7" x14ac:dyDescent="0.2">
      <c r="A502" t="s">
        <v>950</v>
      </c>
      <c r="B502" t="s">
        <v>971</v>
      </c>
      <c r="C502" t="s">
        <v>972</v>
      </c>
      <c r="D502">
        <v>12</v>
      </c>
      <c r="E502" s="5">
        <v>42532.912094907406</v>
      </c>
      <c r="F502" t="s">
        <v>972</v>
      </c>
      <c r="G502" s="6">
        <v>0</v>
      </c>
    </row>
    <row r="503" spans="1:7" x14ac:dyDescent="0.2">
      <c r="A503" t="s">
        <v>950</v>
      </c>
      <c r="B503" t="s">
        <v>973</v>
      </c>
      <c r="C503" t="s">
        <v>38</v>
      </c>
      <c r="D503">
        <v>529</v>
      </c>
      <c r="E503" s="5">
        <v>42633.88490740741</v>
      </c>
      <c r="F503" t="s">
        <v>38</v>
      </c>
      <c r="G503" s="6">
        <v>9</v>
      </c>
    </row>
    <row r="504" spans="1:7" x14ac:dyDescent="0.2">
      <c r="A504" t="s">
        <v>950</v>
      </c>
      <c r="B504" t="s">
        <v>974</v>
      </c>
      <c r="C504" t="s">
        <v>975</v>
      </c>
      <c r="D504">
        <v>20011</v>
      </c>
      <c r="E504" s="5">
        <v>42532.912094907406</v>
      </c>
      <c r="F504" t="s">
        <v>975</v>
      </c>
      <c r="G504" s="6">
        <v>58</v>
      </c>
    </row>
    <row r="505" spans="1:7" x14ac:dyDescent="0.2">
      <c r="A505" t="s">
        <v>950</v>
      </c>
      <c r="B505" t="s">
        <v>976</v>
      </c>
      <c r="C505" t="s">
        <v>977</v>
      </c>
      <c r="D505">
        <v>72</v>
      </c>
      <c r="E505" s="5">
        <v>42532.912094907406</v>
      </c>
      <c r="F505" t="s">
        <v>977</v>
      </c>
      <c r="G505" s="6">
        <v>0</v>
      </c>
    </row>
    <row r="506" spans="1:7" x14ac:dyDescent="0.2">
      <c r="A506" t="s">
        <v>950</v>
      </c>
      <c r="B506" t="s">
        <v>978</v>
      </c>
      <c r="C506" t="s">
        <v>979</v>
      </c>
      <c r="D506">
        <v>9</v>
      </c>
      <c r="E506" s="5">
        <v>42532.912094907406</v>
      </c>
      <c r="F506" t="s">
        <v>979</v>
      </c>
      <c r="G506" s="6">
        <v>0</v>
      </c>
    </row>
    <row r="507" spans="1:7" x14ac:dyDescent="0.2">
      <c r="A507" t="s">
        <v>950</v>
      </c>
      <c r="B507" t="s">
        <v>980</v>
      </c>
      <c r="C507" t="s">
        <v>981</v>
      </c>
      <c r="D507">
        <v>2</v>
      </c>
      <c r="E507" s="5">
        <v>42532.912094907406</v>
      </c>
      <c r="F507" t="s">
        <v>981</v>
      </c>
      <c r="G507" s="6">
        <v>0</v>
      </c>
    </row>
    <row r="508" spans="1:7" x14ac:dyDescent="0.2">
      <c r="A508" t="s">
        <v>950</v>
      </c>
      <c r="B508" t="s">
        <v>982</v>
      </c>
      <c r="C508" t="s">
        <v>983</v>
      </c>
      <c r="D508">
        <v>524</v>
      </c>
      <c r="E508" s="5">
        <v>42532.912094907406</v>
      </c>
      <c r="F508" t="s">
        <v>983</v>
      </c>
      <c r="G508" s="6">
        <v>8</v>
      </c>
    </row>
    <row r="509" spans="1:7" x14ac:dyDescent="0.2">
      <c r="A509" t="s">
        <v>950</v>
      </c>
      <c r="B509" t="s">
        <v>984</v>
      </c>
      <c r="C509" t="s">
        <v>985</v>
      </c>
      <c r="D509">
        <v>376</v>
      </c>
      <c r="E509" s="5">
        <v>42532.912094907406</v>
      </c>
      <c r="F509" t="s">
        <v>985</v>
      </c>
      <c r="G509" s="6">
        <v>0</v>
      </c>
    </row>
    <row r="510" spans="1:7" x14ac:dyDescent="0.2">
      <c r="A510" t="s">
        <v>950</v>
      </c>
      <c r="B510" t="s">
        <v>986</v>
      </c>
      <c r="C510" t="s">
        <v>987</v>
      </c>
      <c r="D510">
        <v>7612</v>
      </c>
      <c r="E510" s="5">
        <v>42532.912094907406</v>
      </c>
      <c r="F510" t="s">
        <v>987</v>
      </c>
      <c r="G510" s="6">
        <v>58</v>
      </c>
    </row>
    <row r="511" spans="1:7" x14ac:dyDescent="0.2">
      <c r="A511" t="s">
        <v>950</v>
      </c>
      <c r="B511" t="s">
        <v>988</v>
      </c>
      <c r="C511" t="s">
        <v>989</v>
      </c>
      <c r="D511">
        <v>90</v>
      </c>
      <c r="E511" s="5">
        <v>42654.894525462965</v>
      </c>
      <c r="F511" t="s">
        <v>989</v>
      </c>
      <c r="G511" s="6">
        <v>40</v>
      </c>
    </row>
    <row r="512" spans="1:7" x14ac:dyDescent="0.2">
      <c r="A512" t="s">
        <v>990</v>
      </c>
      <c r="B512" t="s">
        <v>991</v>
      </c>
      <c r="C512" t="s">
        <v>992</v>
      </c>
      <c r="D512">
        <v>68372</v>
      </c>
      <c r="E512" s="5">
        <v>42532.912303240744</v>
      </c>
      <c r="F512" t="s">
        <v>992</v>
      </c>
      <c r="G512" s="6">
        <v>1512</v>
      </c>
    </row>
    <row r="513" spans="1:7" x14ac:dyDescent="0.2">
      <c r="A513" t="s">
        <v>990</v>
      </c>
      <c r="B513" t="s">
        <v>993</v>
      </c>
      <c r="C513" t="s">
        <v>994</v>
      </c>
      <c r="D513">
        <v>6</v>
      </c>
      <c r="E513" s="5">
        <v>42617.8671875</v>
      </c>
      <c r="F513" t="s">
        <v>994</v>
      </c>
      <c r="G513" s="6">
        <v>0</v>
      </c>
    </row>
    <row r="514" spans="1:7" x14ac:dyDescent="0.2">
      <c r="A514" t="s">
        <v>990</v>
      </c>
      <c r="B514" t="s">
        <v>995</v>
      </c>
      <c r="C514" t="s">
        <v>996</v>
      </c>
      <c r="D514">
        <v>0</v>
      </c>
      <c r="E514" s="5">
        <v>42532.912303240744</v>
      </c>
      <c r="F514" t="s">
        <v>996</v>
      </c>
      <c r="G514" s="6">
        <v>0</v>
      </c>
    </row>
    <row r="515" spans="1:7" x14ac:dyDescent="0.2">
      <c r="A515" t="s">
        <v>990</v>
      </c>
      <c r="B515" t="s">
        <v>997</v>
      </c>
      <c r="C515" t="s">
        <v>362</v>
      </c>
      <c r="D515">
        <v>42</v>
      </c>
      <c r="E515" s="5">
        <v>42532.912303240744</v>
      </c>
      <c r="F515" t="s">
        <v>362</v>
      </c>
      <c r="G515" s="6">
        <v>0</v>
      </c>
    </row>
    <row r="516" spans="1:7" x14ac:dyDescent="0.2">
      <c r="A516" t="s">
        <v>990</v>
      </c>
      <c r="B516" t="s">
        <v>998</v>
      </c>
      <c r="C516" t="s">
        <v>999</v>
      </c>
      <c r="D516">
        <v>157</v>
      </c>
      <c r="E516" s="5">
        <v>42532.912303240744</v>
      </c>
      <c r="F516" t="s">
        <v>999</v>
      </c>
      <c r="G516" s="6">
        <v>0</v>
      </c>
    </row>
    <row r="517" spans="1:7" x14ac:dyDescent="0.2">
      <c r="A517" t="s">
        <v>990</v>
      </c>
      <c r="B517" t="s">
        <v>1000</v>
      </c>
      <c r="C517" t="s">
        <v>1001</v>
      </c>
      <c r="D517">
        <v>33</v>
      </c>
      <c r="E517" s="5">
        <v>42532.912303240744</v>
      </c>
      <c r="F517" t="s">
        <v>1001</v>
      </c>
      <c r="G517" s="6">
        <v>0</v>
      </c>
    </row>
    <row r="518" spans="1:7" x14ac:dyDescent="0.2">
      <c r="A518" t="s">
        <v>990</v>
      </c>
      <c r="B518" t="s">
        <v>1002</v>
      </c>
      <c r="C518" t="s">
        <v>1003</v>
      </c>
      <c r="D518">
        <v>3</v>
      </c>
      <c r="E518" s="5">
        <v>42617.8671875</v>
      </c>
      <c r="F518" t="s">
        <v>1003</v>
      </c>
      <c r="G518" s="6">
        <v>0</v>
      </c>
    </row>
    <row r="519" spans="1:7" x14ac:dyDescent="0.2">
      <c r="A519" t="s">
        <v>990</v>
      </c>
      <c r="B519" t="s">
        <v>1004</v>
      </c>
      <c r="C519" t="s">
        <v>174</v>
      </c>
      <c r="D519">
        <v>21</v>
      </c>
      <c r="E519" s="5">
        <v>42532.912303240744</v>
      </c>
      <c r="F519" t="s">
        <v>174</v>
      </c>
      <c r="G519" s="6">
        <v>0</v>
      </c>
    </row>
    <row r="520" spans="1:7" x14ac:dyDescent="0.2">
      <c r="A520" t="s">
        <v>990</v>
      </c>
      <c r="B520" t="s">
        <v>1005</v>
      </c>
      <c r="C520" t="s">
        <v>1006</v>
      </c>
      <c r="D520">
        <v>141</v>
      </c>
      <c r="E520" s="5">
        <v>42532.912303240744</v>
      </c>
      <c r="F520" t="s">
        <v>1006</v>
      </c>
      <c r="G520" s="6">
        <v>0</v>
      </c>
    </row>
    <row r="521" spans="1:7" x14ac:dyDescent="0.2">
      <c r="A521" t="s">
        <v>990</v>
      </c>
      <c r="B521" t="s">
        <v>1007</v>
      </c>
      <c r="C521" t="s">
        <v>1008</v>
      </c>
      <c r="D521">
        <v>0</v>
      </c>
      <c r="E521" s="5">
        <v>42532.912303240744</v>
      </c>
      <c r="F521" t="s">
        <v>1008</v>
      </c>
      <c r="G521" s="6">
        <v>0</v>
      </c>
    </row>
    <row r="522" spans="1:7" x14ac:dyDescent="0.2">
      <c r="A522" t="s">
        <v>990</v>
      </c>
      <c r="B522" t="s">
        <v>1009</v>
      </c>
      <c r="C522" t="s">
        <v>1010</v>
      </c>
      <c r="D522">
        <v>213</v>
      </c>
      <c r="E522" s="5">
        <v>42532.912303240744</v>
      </c>
      <c r="F522" t="s">
        <v>1010</v>
      </c>
      <c r="G522" s="6">
        <v>0</v>
      </c>
    </row>
    <row r="523" spans="1:7" x14ac:dyDescent="0.2">
      <c r="A523" t="s">
        <v>990</v>
      </c>
      <c r="B523" t="s">
        <v>1011</v>
      </c>
      <c r="C523" t="s">
        <v>38</v>
      </c>
      <c r="D523">
        <v>1751</v>
      </c>
      <c r="E523" s="5">
        <v>42574.872627314813</v>
      </c>
      <c r="F523" t="s">
        <v>38</v>
      </c>
      <c r="G523" s="6">
        <v>31</v>
      </c>
    </row>
    <row r="524" spans="1:7" x14ac:dyDescent="0.2">
      <c r="A524" t="s">
        <v>990</v>
      </c>
      <c r="B524" t="s">
        <v>1012</v>
      </c>
      <c r="C524" t="s">
        <v>1013</v>
      </c>
      <c r="D524">
        <v>536</v>
      </c>
      <c r="E524" s="5">
        <v>42532.912303240744</v>
      </c>
      <c r="F524" t="s">
        <v>1013</v>
      </c>
      <c r="G524" s="6">
        <v>0</v>
      </c>
    </row>
    <row r="525" spans="1:7" x14ac:dyDescent="0.2">
      <c r="A525" t="s">
        <v>1014</v>
      </c>
      <c r="B525" t="s">
        <v>1015</v>
      </c>
      <c r="C525" t="s">
        <v>38</v>
      </c>
      <c r="D525">
        <v>0</v>
      </c>
      <c r="E525" s="5">
        <v>42532.912523148145</v>
      </c>
      <c r="F525" t="s">
        <v>38</v>
      </c>
      <c r="G525" s="6">
        <v>0</v>
      </c>
    </row>
    <row r="526" spans="1:7" x14ac:dyDescent="0.2">
      <c r="A526" t="s">
        <v>1014</v>
      </c>
      <c r="B526" t="s">
        <v>1016</v>
      </c>
      <c r="C526" t="s">
        <v>38</v>
      </c>
      <c r="D526">
        <v>0</v>
      </c>
      <c r="E526" s="5">
        <v>42532.912523148145</v>
      </c>
      <c r="F526" t="s">
        <v>38</v>
      </c>
      <c r="G526" s="6">
        <v>0</v>
      </c>
    </row>
    <row r="527" spans="1:7" x14ac:dyDescent="0.2">
      <c r="A527" t="s">
        <v>1014</v>
      </c>
      <c r="B527" t="s">
        <v>1017</v>
      </c>
      <c r="C527" t="s">
        <v>38</v>
      </c>
      <c r="D527">
        <v>471</v>
      </c>
      <c r="E527" s="5">
        <v>42532.912523148145</v>
      </c>
      <c r="F527" t="s">
        <v>38</v>
      </c>
      <c r="G527" s="6">
        <v>8</v>
      </c>
    </row>
    <row r="528" spans="1:7" x14ac:dyDescent="0.2">
      <c r="A528" t="s">
        <v>1014</v>
      </c>
      <c r="B528" t="s">
        <v>1018</v>
      </c>
      <c r="C528" t="s">
        <v>38</v>
      </c>
      <c r="D528">
        <v>0</v>
      </c>
      <c r="E528" s="5">
        <v>42532.912523148145</v>
      </c>
      <c r="F528" t="s">
        <v>38</v>
      </c>
      <c r="G528" s="6">
        <v>0</v>
      </c>
    </row>
    <row r="529" spans="1:7" x14ac:dyDescent="0.2">
      <c r="A529" t="s">
        <v>1014</v>
      </c>
      <c r="B529" t="s">
        <v>1019</v>
      </c>
      <c r="C529" t="s">
        <v>38</v>
      </c>
      <c r="D529">
        <v>0</v>
      </c>
      <c r="E529" s="5">
        <v>42532.912523148145</v>
      </c>
      <c r="F529" t="s">
        <v>38</v>
      </c>
      <c r="G529" s="6">
        <v>0</v>
      </c>
    </row>
    <row r="530" spans="1:7" x14ac:dyDescent="0.2">
      <c r="A530" t="s">
        <v>1014</v>
      </c>
      <c r="B530" t="s">
        <v>1020</v>
      </c>
      <c r="C530" t="s">
        <v>38</v>
      </c>
      <c r="D530">
        <v>0</v>
      </c>
      <c r="E530" s="5">
        <v>42532.912534722222</v>
      </c>
      <c r="F530" t="s">
        <v>38</v>
      </c>
      <c r="G530" s="6">
        <v>0</v>
      </c>
    </row>
    <row r="531" spans="1:7" x14ac:dyDescent="0.2">
      <c r="A531" t="s">
        <v>1014</v>
      </c>
      <c r="B531" t="s">
        <v>1021</v>
      </c>
      <c r="C531" t="s">
        <v>38</v>
      </c>
      <c r="D531">
        <v>0</v>
      </c>
      <c r="E531" s="5">
        <v>42532.912534722222</v>
      </c>
      <c r="F531" t="s">
        <v>38</v>
      </c>
      <c r="G531" s="6">
        <v>0</v>
      </c>
    </row>
    <row r="532" spans="1:7" x14ac:dyDescent="0.2">
      <c r="A532" t="s">
        <v>1014</v>
      </c>
      <c r="B532" t="s">
        <v>1022</v>
      </c>
      <c r="C532" t="s">
        <v>38</v>
      </c>
      <c r="D532">
        <v>37423</v>
      </c>
      <c r="E532" s="5">
        <v>42532.912534722222</v>
      </c>
      <c r="F532" t="s">
        <v>38</v>
      </c>
      <c r="G532" s="6">
        <v>760</v>
      </c>
    </row>
    <row r="533" spans="1:7" x14ac:dyDescent="0.2">
      <c r="A533" t="s">
        <v>1014</v>
      </c>
      <c r="B533" t="s">
        <v>1023</v>
      </c>
      <c r="C533" t="s">
        <v>38</v>
      </c>
      <c r="D533">
        <v>533</v>
      </c>
      <c r="E533" s="5">
        <v>42532.912534722222</v>
      </c>
      <c r="F533" t="s">
        <v>38</v>
      </c>
      <c r="G533" s="6">
        <v>8</v>
      </c>
    </row>
    <row r="534" spans="1:7" x14ac:dyDescent="0.2">
      <c r="A534" t="s">
        <v>1014</v>
      </c>
      <c r="B534" t="s">
        <v>1024</v>
      </c>
      <c r="C534" t="s">
        <v>38</v>
      </c>
      <c r="D534">
        <v>15998</v>
      </c>
      <c r="E534" s="5">
        <v>42532.912534722222</v>
      </c>
      <c r="F534" t="s">
        <v>38</v>
      </c>
      <c r="G534" s="6">
        <v>306</v>
      </c>
    </row>
    <row r="535" spans="1:7" x14ac:dyDescent="0.2">
      <c r="A535" t="s">
        <v>1025</v>
      </c>
      <c r="B535" t="s">
        <v>1026</v>
      </c>
      <c r="C535" t="s">
        <v>1027</v>
      </c>
      <c r="D535">
        <v>6369</v>
      </c>
      <c r="E535" s="5">
        <v>42478.699791666666</v>
      </c>
      <c r="F535" t="s">
        <v>1027</v>
      </c>
      <c r="G535" s="6">
        <v>0</v>
      </c>
    </row>
    <row r="536" spans="1:7" x14ac:dyDescent="0.2">
      <c r="A536" t="s">
        <v>1025</v>
      </c>
      <c r="B536" t="s">
        <v>1028</v>
      </c>
      <c r="C536" t="s">
        <v>38</v>
      </c>
      <c r="D536">
        <v>1244</v>
      </c>
      <c r="E536" s="5">
        <v>42478.699791666666</v>
      </c>
      <c r="F536" t="s">
        <v>38</v>
      </c>
      <c r="G536" s="6">
        <v>27</v>
      </c>
    </row>
    <row r="537" spans="1:7" x14ac:dyDescent="0.2">
      <c r="A537" t="s">
        <v>1025</v>
      </c>
      <c r="B537" t="s">
        <v>1029</v>
      </c>
      <c r="C537" t="s">
        <v>38</v>
      </c>
      <c r="D537">
        <v>4553191</v>
      </c>
      <c r="E537" s="5">
        <v>42478.699791666666</v>
      </c>
      <c r="F537" t="s">
        <v>38</v>
      </c>
      <c r="G537" s="6">
        <v>4685</v>
      </c>
    </row>
    <row r="538" spans="1:7" x14ac:dyDescent="0.2">
      <c r="A538" t="s">
        <v>1025</v>
      </c>
      <c r="B538" t="s">
        <v>1030</v>
      </c>
      <c r="C538" t="s">
        <v>38</v>
      </c>
      <c r="D538">
        <v>1289</v>
      </c>
      <c r="E538" s="5">
        <v>42478.699791666666</v>
      </c>
      <c r="F538" t="s">
        <v>38</v>
      </c>
      <c r="G538" s="6">
        <v>27</v>
      </c>
    </row>
    <row r="539" spans="1:7" x14ac:dyDescent="0.2">
      <c r="A539" t="s">
        <v>1025</v>
      </c>
      <c r="B539" t="s">
        <v>1031</v>
      </c>
      <c r="C539" t="s">
        <v>38</v>
      </c>
      <c r="D539">
        <v>6</v>
      </c>
      <c r="E539" s="5">
        <v>42478.699791666666</v>
      </c>
      <c r="F539" t="s">
        <v>38</v>
      </c>
      <c r="G539" s="6">
        <v>0</v>
      </c>
    </row>
    <row r="540" spans="1:7" x14ac:dyDescent="0.2">
      <c r="A540" t="s">
        <v>1025</v>
      </c>
      <c r="B540" t="s">
        <v>1032</v>
      </c>
      <c r="C540" t="s">
        <v>38</v>
      </c>
      <c r="D540">
        <v>0</v>
      </c>
      <c r="E540" s="5">
        <v>42478.699791666666</v>
      </c>
      <c r="F540" t="s">
        <v>38</v>
      </c>
      <c r="G540" s="6">
        <v>0</v>
      </c>
    </row>
    <row r="541" spans="1:7" x14ac:dyDescent="0.2">
      <c r="A541" t="s">
        <v>1025</v>
      </c>
      <c r="B541" t="s">
        <v>1033</v>
      </c>
      <c r="C541" t="s">
        <v>38</v>
      </c>
      <c r="D541">
        <v>3</v>
      </c>
      <c r="E541" s="5">
        <v>42478.699791666666</v>
      </c>
      <c r="F541" t="s">
        <v>38</v>
      </c>
      <c r="G541" s="6">
        <v>0</v>
      </c>
    </row>
    <row r="542" spans="1:7" x14ac:dyDescent="0.2">
      <c r="A542" t="s">
        <v>1025</v>
      </c>
      <c r="B542" t="s">
        <v>1034</v>
      </c>
      <c r="C542" t="s">
        <v>1035</v>
      </c>
      <c r="D542">
        <v>3520802</v>
      </c>
      <c r="E542" s="5">
        <v>42478.699791666666</v>
      </c>
      <c r="F542" t="s">
        <v>1035</v>
      </c>
      <c r="G542" s="6">
        <v>2638</v>
      </c>
    </row>
    <row r="543" spans="1:7" x14ac:dyDescent="0.2">
      <c r="A543" t="s">
        <v>1025</v>
      </c>
      <c r="B543" t="s">
        <v>1036</v>
      </c>
      <c r="C543" t="s">
        <v>1037</v>
      </c>
      <c r="D543">
        <v>35832406</v>
      </c>
      <c r="E543" s="5">
        <v>42478.699791666666</v>
      </c>
      <c r="F543" t="s">
        <v>1037</v>
      </c>
      <c r="G543" s="6">
        <v>320043</v>
      </c>
    </row>
    <row r="544" spans="1:7" x14ac:dyDescent="0.2">
      <c r="A544" t="s">
        <v>1025</v>
      </c>
      <c r="B544" t="s">
        <v>1038</v>
      </c>
      <c r="C544" t="s">
        <v>38</v>
      </c>
      <c r="D544">
        <v>15</v>
      </c>
      <c r="E544" s="5">
        <v>42478.699791666666</v>
      </c>
      <c r="F544" t="s">
        <v>38</v>
      </c>
      <c r="G544" s="6">
        <v>0</v>
      </c>
    </row>
    <row r="545" spans="1:7" x14ac:dyDescent="0.2">
      <c r="A545" t="s">
        <v>1025</v>
      </c>
      <c r="B545" t="s">
        <v>1039</v>
      </c>
      <c r="C545" t="s">
        <v>38</v>
      </c>
      <c r="D545">
        <v>240</v>
      </c>
      <c r="E545" s="5">
        <v>42478.699791666666</v>
      </c>
      <c r="F545" t="s">
        <v>38</v>
      </c>
      <c r="G545" s="6">
        <v>0</v>
      </c>
    </row>
    <row r="546" spans="1:7" x14ac:dyDescent="0.2">
      <c r="A546" t="s">
        <v>1025</v>
      </c>
      <c r="B546" t="s">
        <v>1040</v>
      </c>
      <c r="C546" t="s">
        <v>38</v>
      </c>
      <c r="D546">
        <v>2</v>
      </c>
      <c r="E546" s="5">
        <v>42478.699791666666</v>
      </c>
      <c r="F546" t="s">
        <v>38</v>
      </c>
      <c r="G546" s="6">
        <v>0</v>
      </c>
    </row>
    <row r="547" spans="1:7" x14ac:dyDescent="0.2">
      <c r="A547" t="s">
        <v>1025</v>
      </c>
      <c r="B547" t="s">
        <v>1041</v>
      </c>
      <c r="C547" t="s">
        <v>38</v>
      </c>
      <c r="D547">
        <v>247</v>
      </c>
      <c r="E547" s="5">
        <v>42478.699791666666</v>
      </c>
      <c r="F547" t="s">
        <v>38</v>
      </c>
      <c r="G547" s="6">
        <v>0</v>
      </c>
    </row>
    <row r="548" spans="1:7" x14ac:dyDescent="0.2">
      <c r="A548" t="s">
        <v>1025</v>
      </c>
      <c r="B548" t="s">
        <v>1042</v>
      </c>
      <c r="C548" t="s">
        <v>1043</v>
      </c>
      <c r="D548">
        <v>124</v>
      </c>
      <c r="E548" s="5">
        <v>42478.699791666666</v>
      </c>
      <c r="F548" t="s">
        <v>1043</v>
      </c>
      <c r="G548" s="6">
        <v>0</v>
      </c>
    </row>
    <row r="549" spans="1:7" x14ac:dyDescent="0.2">
      <c r="A549" t="s">
        <v>1025</v>
      </c>
      <c r="B549" t="s">
        <v>1044</v>
      </c>
      <c r="C549" t="s">
        <v>1045</v>
      </c>
      <c r="D549">
        <v>1</v>
      </c>
      <c r="E549" s="5">
        <v>42478.699791666666</v>
      </c>
      <c r="F549" t="s">
        <v>1045</v>
      </c>
      <c r="G549" s="6">
        <v>0</v>
      </c>
    </row>
    <row r="550" spans="1:7" x14ac:dyDescent="0.2">
      <c r="A550" t="s">
        <v>1025</v>
      </c>
      <c r="B550" t="s">
        <v>1046</v>
      </c>
      <c r="C550" t="s">
        <v>1047</v>
      </c>
      <c r="D550">
        <v>12</v>
      </c>
      <c r="E550" s="5">
        <v>42635.977800925924</v>
      </c>
      <c r="F550" t="s">
        <v>1047</v>
      </c>
      <c r="G550" s="6">
        <v>0</v>
      </c>
    </row>
    <row r="551" spans="1:7" x14ac:dyDescent="0.2">
      <c r="A551" t="s">
        <v>1025</v>
      </c>
      <c r="B551" t="s">
        <v>1048</v>
      </c>
      <c r="C551" t="s">
        <v>38</v>
      </c>
      <c r="D551">
        <v>16016</v>
      </c>
      <c r="E551" s="5">
        <v>42604.72314814815</v>
      </c>
      <c r="F551" t="s">
        <v>38</v>
      </c>
      <c r="G551" s="6">
        <v>0</v>
      </c>
    </row>
    <row r="552" spans="1:7" x14ac:dyDescent="0.2">
      <c r="A552" t="s">
        <v>1025</v>
      </c>
      <c r="B552" t="s">
        <v>1049</v>
      </c>
      <c r="C552" t="s">
        <v>38</v>
      </c>
      <c r="D552">
        <v>1051</v>
      </c>
      <c r="E552" s="5">
        <v>42478.699791666666</v>
      </c>
      <c r="F552" t="s">
        <v>38</v>
      </c>
      <c r="G552" s="6">
        <v>4</v>
      </c>
    </row>
    <row r="553" spans="1:7" x14ac:dyDescent="0.2">
      <c r="A553" t="s">
        <v>1025</v>
      </c>
      <c r="B553" t="s">
        <v>1050</v>
      </c>
      <c r="C553" t="s">
        <v>1051</v>
      </c>
      <c r="D553">
        <v>8</v>
      </c>
      <c r="E553" s="5">
        <v>42478.699791666666</v>
      </c>
      <c r="F553" t="s">
        <v>1051</v>
      </c>
      <c r="G553" s="6">
        <v>0</v>
      </c>
    </row>
    <row r="554" spans="1:7" x14ac:dyDescent="0.2">
      <c r="A554" t="s">
        <v>1025</v>
      </c>
      <c r="B554" t="s">
        <v>1052</v>
      </c>
      <c r="C554" t="s">
        <v>1053</v>
      </c>
      <c r="D554">
        <v>9341</v>
      </c>
      <c r="E554" s="5">
        <v>42478.699791666666</v>
      </c>
      <c r="F554" t="s">
        <v>1053</v>
      </c>
      <c r="G554" s="6">
        <v>15</v>
      </c>
    </row>
    <row r="555" spans="1:7" x14ac:dyDescent="0.2">
      <c r="A555" t="s">
        <v>1025</v>
      </c>
      <c r="B555" t="s">
        <v>1054</v>
      </c>
      <c r="C555" t="s">
        <v>1053</v>
      </c>
      <c r="D555">
        <v>0</v>
      </c>
      <c r="E555" s="5">
        <v>42478.699791666666</v>
      </c>
      <c r="F555" t="s">
        <v>1053</v>
      </c>
      <c r="G555" s="6">
        <v>0</v>
      </c>
    </row>
    <row r="556" spans="1:7" x14ac:dyDescent="0.2">
      <c r="A556" t="s">
        <v>1025</v>
      </c>
      <c r="B556" t="s">
        <v>1055</v>
      </c>
      <c r="C556" t="s">
        <v>1053</v>
      </c>
      <c r="D556">
        <v>0</v>
      </c>
      <c r="E556" s="5">
        <v>42478.699791666666</v>
      </c>
      <c r="F556" t="s">
        <v>1053</v>
      </c>
      <c r="G556" s="6">
        <v>0</v>
      </c>
    </row>
    <row r="557" spans="1:7" x14ac:dyDescent="0.2">
      <c r="A557" t="s">
        <v>1025</v>
      </c>
      <c r="B557" t="s">
        <v>1056</v>
      </c>
      <c r="C557" t="s">
        <v>1053</v>
      </c>
      <c r="D557">
        <v>0</v>
      </c>
      <c r="E557" s="5">
        <v>42478.699791666666</v>
      </c>
      <c r="F557" t="s">
        <v>1053</v>
      </c>
      <c r="G557" s="6">
        <v>0</v>
      </c>
    </row>
    <row r="558" spans="1:7" x14ac:dyDescent="0.2">
      <c r="A558" t="s">
        <v>1025</v>
      </c>
      <c r="B558" t="s">
        <v>1057</v>
      </c>
      <c r="C558" t="s">
        <v>1058</v>
      </c>
      <c r="D558">
        <v>749749</v>
      </c>
      <c r="E558" s="5">
        <v>42478.699791666666</v>
      </c>
      <c r="F558" t="s">
        <v>1058</v>
      </c>
      <c r="G558" s="6">
        <v>616</v>
      </c>
    </row>
    <row r="559" spans="1:7" x14ac:dyDescent="0.2">
      <c r="A559" t="s">
        <v>1025</v>
      </c>
      <c r="B559" t="s">
        <v>1059</v>
      </c>
      <c r="C559" t="s">
        <v>38</v>
      </c>
      <c r="D559">
        <v>6</v>
      </c>
      <c r="E559" s="5">
        <v>42478.699791666666</v>
      </c>
      <c r="F559" t="s">
        <v>38</v>
      </c>
      <c r="G559" s="6">
        <v>0</v>
      </c>
    </row>
    <row r="560" spans="1:7" x14ac:dyDescent="0.2">
      <c r="A560" t="s">
        <v>1025</v>
      </c>
      <c r="B560" t="s">
        <v>1060</v>
      </c>
      <c r="C560" t="s">
        <v>38</v>
      </c>
      <c r="D560">
        <v>240</v>
      </c>
      <c r="E560" s="5">
        <v>42478.699791666666</v>
      </c>
      <c r="F560" t="s">
        <v>38</v>
      </c>
      <c r="G560" s="6">
        <v>0</v>
      </c>
    </row>
    <row r="561" spans="1:7" x14ac:dyDescent="0.2">
      <c r="A561" t="s">
        <v>1025</v>
      </c>
      <c r="B561" t="s">
        <v>1061</v>
      </c>
      <c r="C561" t="s">
        <v>38</v>
      </c>
      <c r="D561">
        <v>13203046</v>
      </c>
      <c r="E561" s="5">
        <v>42478.699791666666</v>
      </c>
      <c r="F561" t="s">
        <v>38</v>
      </c>
      <c r="G561" s="6">
        <v>20776</v>
      </c>
    </row>
    <row r="562" spans="1:7" x14ac:dyDescent="0.2">
      <c r="A562" t="s">
        <v>1025</v>
      </c>
      <c r="B562" t="s">
        <v>1062</v>
      </c>
      <c r="C562" t="s">
        <v>38</v>
      </c>
      <c r="D562">
        <v>710815</v>
      </c>
      <c r="E562" s="5">
        <v>42478.699791666666</v>
      </c>
      <c r="F562" t="s">
        <v>38</v>
      </c>
      <c r="G562" s="6">
        <v>1694</v>
      </c>
    </row>
    <row r="563" spans="1:7" x14ac:dyDescent="0.2">
      <c r="A563" t="s">
        <v>1025</v>
      </c>
      <c r="B563" t="s">
        <v>1063</v>
      </c>
      <c r="C563" t="s">
        <v>1064</v>
      </c>
      <c r="D563">
        <v>24</v>
      </c>
      <c r="E563" s="5">
        <v>42478.699791666666</v>
      </c>
      <c r="F563" t="s">
        <v>1064</v>
      </c>
      <c r="G563" s="6">
        <v>0</v>
      </c>
    </row>
    <row r="564" spans="1:7" x14ac:dyDescent="0.2">
      <c r="A564" t="s">
        <v>1025</v>
      </c>
      <c r="B564" t="s">
        <v>1065</v>
      </c>
      <c r="C564" t="s">
        <v>38</v>
      </c>
      <c r="D564">
        <v>174</v>
      </c>
      <c r="E564" s="5">
        <v>42478.699791666666</v>
      </c>
      <c r="F564" t="s">
        <v>38</v>
      </c>
      <c r="G564" s="6">
        <v>0</v>
      </c>
    </row>
    <row r="565" spans="1:7" x14ac:dyDescent="0.2">
      <c r="A565" t="s">
        <v>1025</v>
      </c>
      <c r="B565" t="s">
        <v>1066</v>
      </c>
      <c r="C565" t="s">
        <v>1067</v>
      </c>
      <c r="D565">
        <v>16650</v>
      </c>
      <c r="E565" s="5">
        <v>42478.699791666666</v>
      </c>
      <c r="F565" t="s">
        <v>1067</v>
      </c>
      <c r="G565" s="6">
        <v>0</v>
      </c>
    </row>
    <row r="566" spans="1:7" x14ac:dyDescent="0.2">
      <c r="A566" t="s">
        <v>1025</v>
      </c>
      <c r="B566" t="s">
        <v>1068</v>
      </c>
      <c r="C566" t="s">
        <v>38</v>
      </c>
      <c r="D566">
        <v>14798</v>
      </c>
      <c r="E566" s="5">
        <v>42478.699791666666</v>
      </c>
      <c r="F566" t="s">
        <v>38</v>
      </c>
      <c r="G566" s="6">
        <v>2</v>
      </c>
    </row>
    <row r="567" spans="1:7" x14ac:dyDescent="0.2">
      <c r="A567" t="s">
        <v>1025</v>
      </c>
      <c r="B567" t="s">
        <v>1069</v>
      </c>
      <c r="C567" t="s">
        <v>38</v>
      </c>
      <c r="D567">
        <v>0</v>
      </c>
      <c r="E567" s="5">
        <v>42478.699791666666</v>
      </c>
      <c r="F567" t="s">
        <v>38</v>
      </c>
      <c r="G567" s="6">
        <v>0</v>
      </c>
    </row>
    <row r="568" spans="1:7" x14ac:dyDescent="0.2">
      <c r="A568" t="s">
        <v>1025</v>
      </c>
      <c r="B568" t="s">
        <v>1070</v>
      </c>
      <c r="C568" t="s">
        <v>38</v>
      </c>
      <c r="D568">
        <v>277</v>
      </c>
      <c r="E568" s="5">
        <v>42478.699791666666</v>
      </c>
      <c r="F568" t="s">
        <v>38</v>
      </c>
      <c r="G568" s="6">
        <v>0</v>
      </c>
    </row>
    <row r="569" spans="1:7" x14ac:dyDescent="0.2">
      <c r="A569" t="s">
        <v>1025</v>
      </c>
      <c r="B569" t="s">
        <v>1071</v>
      </c>
      <c r="C569" t="s">
        <v>38</v>
      </c>
      <c r="D569">
        <v>0</v>
      </c>
      <c r="E569" s="5">
        <v>42478.699791666666</v>
      </c>
      <c r="F569" t="s">
        <v>38</v>
      </c>
      <c r="G569" s="6">
        <v>0</v>
      </c>
    </row>
    <row r="570" spans="1:7" x14ac:dyDescent="0.2">
      <c r="A570" t="s">
        <v>1025</v>
      </c>
      <c r="B570" t="s">
        <v>1072</v>
      </c>
      <c r="C570" t="s">
        <v>38</v>
      </c>
      <c r="D570">
        <v>0</v>
      </c>
      <c r="E570" s="5">
        <v>42478.699791666666</v>
      </c>
      <c r="F570" t="s">
        <v>38</v>
      </c>
      <c r="G570" s="6">
        <v>0</v>
      </c>
    </row>
    <row r="571" spans="1:7" x14ac:dyDescent="0.2">
      <c r="A571" t="s">
        <v>1025</v>
      </c>
      <c r="B571" t="s">
        <v>1073</v>
      </c>
      <c r="C571" t="s">
        <v>38</v>
      </c>
      <c r="D571">
        <v>0</v>
      </c>
      <c r="E571" s="5">
        <v>42478.699791666666</v>
      </c>
      <c r="F571" t="s">
        <v>38</v>
      </c>
      <c r="G571" s="6">
        <v>0</v>
      </c>
    </row>
    <row r="572" spans="1:7" x14ac:dyDescent="0.2">
      <c r="A572" t="s">
        <v>1025</v>
      </c>
      <c r="B572" t="s">
        <v>1074</v>
      </c>
      <c r="C572" t="s">
        <v>38</v>
      </c>
      <c r="D572">
        <v>1</v>
      </c>
      <c r="E572" s="5">
        <v>42478.699791666666</v>
      </c>
      <c r="F572" t="s">
        <v>38</v>
      </c>
      <c r="G572" s="6">
        <v>0</v>
      </c>
    </row>
    <row r="573" spans="1:7" x14ac:dyDescent="0.2">
      <c r="A573" t="s">
        <v>1025</v>
      </c>
      <c r="B573" t="s">
        <v>1075</v>
      </c>
      <c r="C573" t="s">
        <v>38</v>
      </c>
      <c r="D573">
        <v>364854</v>
      </c>
      <c r="E573" s="5">
        <v>42478.699791666666</v>
      </c>
      <c r="F573" t="s">
        <v>38</v>
      </c>
      <c r="G573" s="6">
        <v>0</v>
      </c>
    </row>
    <row r="574" spans="1:7" x14ac:dyDescent="0.2">
      <c r="A574" t="s">
        <v>1025</v>
      </c>
      <c r="B574" t="s">
        <v>1076</v>
      </c>
      <c r="C574" t="s">
        <v>38</v>
      </c>
      <c r="D574">
        <v>0</v>
      </c>
      <c r="E574" s="5">
        <v>42478.699791666666</v>
      </c>
      <c r="F574" t="s">
        <v>38</v>
      </c>
      <c r="G574" s="6">
        <v>0</v>
      </c>
    </row>
    <row r="575" spans="1:7" x14ac:dyDescent="0.2">
      <c r="A575" t="s">
        <v>1025</v>
      </c>
      <c r="B575" t="s">
        <v>1077</v>
      </c>
      <c r="C575" t="s">
        <v>38</v>
      </c>
      <c r="D575">
        <v>1245</v>
      </c>
      <c r="E575" s="5">
        <v>42478.699791666666</v>
      </c>
      <c r="F575" t="s">
        <v>38</v>
      </c>
      <c r="G575" s="6">
        <v>0</v>
      </c>
    </row>
    <row r="576" spans="1:7" x14ac:dyDescent="0.2">
      <c r="A576" t="s">
        <v>1025</v>
      </c>
      <c r="B576" t="s">
        <v>1078</v>
      </c>
      <c r="C576" t="s">
        <v>38</v>
      </c>
      <c r="D576">
        <v>24478</v>
      </c>
      <c r="E576" s="5">
        <v>42478.699791666666</v>
      </c>
      <c r="F576" t="s">
        <v>38</v>
      </c>
      <c r="G576" s="6">
        <v>0</v>
      </c>
    </row>
    <row r="577" spans="1:7" x14ac:dyDescent="0.2">
      <c r="A577" t="s">
        <v>1025</v>
      </c>
      <c r="B577" t="s">
        <v>1079</v>
      </c>
      <c r="C577" t="s">
        <v>38</v>
      </c>
      <c r="D577">
        <v>11587</v>
      </c>
      <c r="E577" s="5">
        <v>42485.460555555554</v>
      </c>
      <c r="F577" t="s">
        <v>38</v>
      </c>
      <c r="G577" s="6">
        <v>0</v>
      </c>
    </row>
    <row r="578" spans="1:7" x14ac:dyDescent="0.2">
      <c r="A578" t="s">
        <v>1025</v>
      </c>
      <c r="B578" t="s">
        <v>1080</v>
      </c>
      <c r="C578" t="s">
        <v>38</v>
      </c>
      <c r="D578">
        <v>0</v>
      </c>
      <c r="E578" s="5">
        <v>42478.699791666666</v>
      </c>
      <c r="F578" t="s">
        <v>38</v>
      </c>
      <c r="G578" s="6">
        <v>0</v>
      </c>
    </row>
    <row r="579" spans="1:7" x14ac:dyDescent="0.2">
      <c r="A579" t="s">
        <v>1025</v>
      </c>
      <c r="B579" t="s">
        <v>1081</v>
      </c>
      <c r="C579" t="s">
        <v>1082</v>
      </c>
      <c r="D579">
        <v>1865</v>
      </c>
      <c r="E579" s="5">
        <v>42478.699791666666</v>
      </c>
      <c r="F579" t="s">
        <v>1082</v>
      </c>
      <c r="G579" s="6">
        <v>0</v>
      </c>
    </row>
    <row r="580" spans="1:7" x14ac:dyDescent="0.2">
      <c r="A580" t="s">
        <v>1025</v>
      </c>
      <c r="B580" t="s">
        <v>1083</v>
      </c>
      <c r="C580" t="s">
        <v>1084</v>
      </c>
      <c r="D580">
        <v>2068</v>
      </c>
      <c r="E580" s="5">
        <v>42478.699791666666</v>
      </c>
      <c r="F580" t="s">
        <v>1084</v>
      </c>
      <c r="G580" s="6">
        <v>1</v>
      </c>
    </row>
    <row r="581" spans="1:7" x14ac:dyDescent="0.2">
      <c r="A581" t="s">
        <v>1025</v>
      </c>
      <c r="B581" t="s">
        <v>1085</v>
      </c>
      <c r="C581" t="s">
        <v>38</v>
      </c>
      <c r="D581">
        <v>2</v>
      </c>
      <c r="E581" s="5">
        <v>42478.699791666666</v>
      </c>
      <c r="F581" t="s">
        <v>38</v>
      </c>
      <c r="G581" s="6">
        <v>0</v>
      </c>
    </row>
    <row r="582" spans="1:7" x14ac:dyDescent="0.2">
      <c r="A582" t="s">
        <v>1025</v>
      </c>
      <c r="B582" t="s">
        <v>1086</v>
      </c>
      <c r="C582" t="s">
        <v>38</v>
      </c>
      <c r="D582">
        <v>9365247</v>
      </c>
      <c r="E582" s="5">
        <v>42478.699791666666</v>
      </c>
      <c r="F582" t="s">
        <v>38</v>
      </c>
      <c r="G582" s="6">
        <v>13086</v>
      </c>
    </row>
    <row r="583" spans="1:7" x14ac:dyDescent="0.2">
      <c r="A583" t="s">
        <v>1025</v>
      </c>
      <c r="B583" t="s">
        <v>1087</v>
      </c>
      <c r="C583" t="s">
        <v>1088</v>
      </c>
      <c r="D583">
        <v>175432</v>
      </c>
      <c r="E583" s="5">
        <v>42478.699791666666</v>
      </c>
      <c r="F583" t="s">
        <v>1088</v>
      </c>
      <c r="G583" s="6">
        <v>15253</v>
      </c>
    </row>
    <row r="584" spans="1:7" x14ac:dyDescent="0.2">
      <c r="A584" t="s">
        <v>1025</v>
      </c>
      <c r="B584" t="s">
        <v>1089</v>
      </c>
      <c r="C584" t="s">
        <v>1088</v>
      </c>
      <c r="D584">
        <v>102495</v>
      </c>
      <c r="E584" s="5">
        <v>42503.033877314818</v>
      </c>
      <c r="F584" t="s">
        <v>1088</v>
      </c>
      <c r="G584" s="6">
        <v>0</v>
      </c>
    </row>
    <row r="585" spans="1:7" x14ac:dyDescent="0.2">
      <c r="A585" t="s">
        <v>1025</v>
      </c>
      <c r="B585" t="s">
        <v>1090</v>
      </c>
      <c r="C585" t="s">
        <v>1091</v>
      </c>
      <c r="D585">
        <v>0</v>
      </c>
      <c r="E585" s="5">
        <v>42478.699791666666</v>
      </c>
      <c r="F585" t="s">
        <v>1091</v>
      </c>
      <c r="G585" s="6">
        <v>0</v>
      </c>
    </row>
    <row r="586" spans="1:7" x14ac:dyDescent="0.2">
      <c r="A586" t="s">
        <v>1025</v>
      </c>
      <c r="B586" t="s">
        <v>1092</v>
      </c>
      <c r="C586" t="s">
        <v>1091</v>
      </c>
      <c r="D586">
        <v>0</v>
      </c>
      <c r="E586" s="5">
        <v>42503.034328703703</v>
      </c>
      <c r="F586" t="s">
        <v>1091</v>
      </c>
      <c r="G586" s="6">
        <v>0</v>
      </c>
    </row>
    <row r="587" spans="1:7" x14ac:dyDescent="0.2">
      <c r="A587" t="s">
        <v>1025</v>
      </c>
      <c r="B587" t="s">
        <v>1093</v>
      </c>
      <c r="C587" t="s">
        <v>1091</v>
      </c>
      <c r="D587">
        <v>0</v>
      </c>
      <c r="E587" s="5">
        <v>42478.699791666666</v>
      </c>
      <c r="F587" t="s">
        <v>1091</v>
      </c>
      <c r="G587" s="6">
        <v>0</v>
      </c>
    </row>
    <row r="588" spans="1:7" x14ac:dyDescent="0.2">
      <c r="A588" t="s">
        <v>1025</v>
      </c>
      <c r="B588" t="s">
        <v>386</v>
      </c>
      <c r="C588" t="s">
        <v>38</v>
      </c>
      <c r="D588">
        <v>40659</v>
      </c>
      <c r="E588" s="5">
        <v>42478.699791666666</v>
      </c>
      <c r="F588" t="s">
        <v>38</v>
      </c>
      <c r="G588" s="6">
        <v>0</v>
      </c>
    </row>
    <row r="589" spans="1:7" x14ac:dyDescent="0.2">
      <c r="A589" t="s">
        <v>1025</v>
      </c>
      <c r="B589" t="s">
        <v>1094</v>
      </c>
      <c r="C589" t="s">
        <v>38</v>
      </c>
      <c r="D589">
        <v>0</v>
      </c>
      <c r="E589" s="5">
        <v>42478.699791666666</v>
      </c>
      <c r="F589" t="s">
        <v>38</v>
      </c>
      <c r="G589" s="6">
        <v>0</v>
      </c>
    </row>
    <row r="590" spans="1:7" x14ac:dyDescent="0.2">
      <c r="A590" t="s">
        <v>1025</v>
      </c>
      <c r="B590" t="s">
        <v>1095</v>
      </c>
      <c r="C590" t="s">
        <v>1096</v>
      </c>
      <c r="D590">
        <v>492426</v>
      </c>
      <c r="E590" s="5">
        <v>42578.611793981479</v>
      </c>
      <c r="F590" t="s">
        <v>38</v>
      </c>
      <c r="G590" s="6">
        <v>8559</v>
      </c>
    </row>
    <row r="591" spans="1:7" x14ac:dyDescent="0.2">
      <c r="A591" t="s">
        <v>1025</v>
      </c>
      <c r="B591" t="s">
        <v>1097</v>
      </c>
      <c r="C591" t="s">
        <v>38</v>
      </c>
      <c r="D591">
        <v>177580</v>
      </c>
      <c r="E591" s="5">
        <v>42478.699791666666</v>
      </c>
      <c r="F591" t="s">
        <v>38</v>
      </c>
      <c r="G591" s="6">
        <v>15677</v>
      </c>
    </row>
    <row r="592" spans="1:7" x14ac:dyDescent="0.2">
      <c r="A592" t="s">
        <v>1025</v>
      </c>
      <c r="B592" t="s">
        <v>1098</v>
      </c>
      <c r="C592" t="s">
        <v>38</v>
      </c>
      <c r="D592">
        <v>32</v>
      </c>
      <c r="E592" s="5">
        <v>42478.699791666666</v>
      </c>
      <c r="F592" t="s">
        <v>38</v>
      </c>
      <c r="G592" s="6">
        <v>0</v>
      </c>
    </row>
    <row r="593" spans="1:7" x14ac:dyDescent="0.2">
      <c r="A593" t="s">
        <v>1025</v>
      </c>
      <c r="B593" t="s">
        <v>1099</v>
      </c>
      <c r="C593" t="s">
        <v>38</v>
      </c>
      <c r="D593">
        <v>346</v>
      </c>
      <c r="E593" s="5">
        <v>42478.699791666666</v>
      </c>
      <c r="F593" t="s">
        <v>38</v>
      </c>
      <c r="G593" s="6">
        <v>0</v>
      </c>
    </row>
    <row r="594" spans="1:7" x14ac:dyDescent="0.2">
      <c r="A594" t="s">
        <v>1025</v>
      </c>
      <c r="B594" t="s">
        <v>1100</v>
      </c>
      <c r="C594" t="s">
        <v>38</v>
      </c>
      <c r="D594">
        <v>131</v>
      </c>
      <c r="E594" s="5">
        <v>42478.699791666666</v>
      </c>
      <c r="F594" t="s">
        <v>38</v>
      </c>
      <c r="G594" s="6">
        <v>0</v>
      </c>
    </row>
    <row r="595" spans="1:7" x14ac:dyDescent="0.2">
      <c r="A595" t="s">
        <v>1025</v>
      </c>
      <c r="B595" t="s">
        <v>1101</v>
      </c>
      <c r="C595" t="s">
        <v>1102</v>
      </c>
      <c r="D595">
        <v>4151</v>
      </c>
      <c r="E595" s="5">
        <v>42502.401631944442</v>
      </c>
      <c r="F595" t="s">
        <v>1102</v>
      </c>
      <c r="G595" s="6">
        <v>0</v>
      </c>
    </row>
    <row r="596" spans="1:7" x14ac:dyDescent="0.2">
      <c r="A596" t="s">
        <v>1025</v>
      </c>
      <c r="B596" t="s">
        <v>1103</v>
      </c>
      <c r="C596" t="s">
        <v>1104</v>
      </c>
      <c r="D596">
        <v>27970</v>
      </c>
      <c r="E596" s="5">
        <v>42478.699791666666</v>
      </c>
      <c r="F596" t="s">
        <v>1104</v>
      </c>
      <c r="G596" s="6">
        <v>44</v>
      </c>
    </row>
    <row r="597" spans="1:7" x14ac:dyDescent="0.2">
      <c r="A597" t="s">
        <v>1025</v>
      </c>
      <c r="B597" t="s">
        <v>1105</v>
      </c>
      <c r="C597" t="s">
        <v>38</v>
      </c>
      <c r="D597">
        <v>1250604</v>
      </c>
      <c r="E597" s="5">
        <v>42478.699791666666</v>
      </c>
      <c r="F597" t="s">
        <v>38</v>
      </c>
      <c r="G597" s="6">
        <v>0</v>
      </c>
    </row>
    <row r="598" spans="1:7" x14ac:dyDescent="0.2">
      <c r="A598" t="s">
        <v>1025</v>
      </c>
      <c r="B598" t="s">
        <v>1106</v>
      </c>
      <c r="C598" t="s">
        <v>1107</v>
      </c>
      <c r="D598">
        <v>126131</v>
      </c>
      <c r="E598" s="5">
        <v>42478.699791666666</v>
      </c>
      <c r="F598" t="s">
        <v>1107</v>
      </c>
      <c r="G598" s="6">
        <v>0</v>
      </c>
    </row>
    <row r="599" spans="1:7" x14ac:dyDescent="0.2">
      <c r="A599" t="s">
        <v>1025</v>
      </c>
      <c r="B599" t="s">
        <v>1108</v>
      </c>
      <c r="C599" t="s">
        <v>1109</v>
      </c>
      <c r="D599">
        <v>9</v>
      </c>
      <c r="E599" s="5">
        <v>42478.699791666666</v>
      </c>
      <c r="F599" t="s">
        <v>1109</v>
      </c>
      <c r="G599" s="6">
        <v>0</v>
      </c>
    </row>
    <row r="600" spans="1:7" x14ac:dyDescent="0.2">
      <c r="A600" t="s">
        <v>1025</v>
      </c>
      <c r="B600" t="s">
        <v>1110</v>
      </c>
      <c r="C600" t="s">
        <v>38</v>
      </c>
      <c r="D600">
        <v>0</v>
      </c>
      <c r="E600" s="5">
        <v>42478.699791666666</v>
      </c>
      <c r="F600" t="s">
        <v>38</v>
      </c>
      <c r="G600" s="6">
        <v>0</v>
      </c>
    </row>
    <row r="601" spans="1:7" x14ac:dyDescent="0.2">
      <c r="A601" t="s">
        <v>1025</v>
      </c>
      <c r="B601" t="s">
        <v>1111</v>
      </c>
      <c r="C601" t="s">
        <v>38</v>
      </c>
      <c r="D601">
        <v>2</v>
      </c>
      <c r="E601" s="5">
        <v>42478.699791666666</v>
      </c>
      <c r="F601" t="s">
        <v>38</v>
      </c>
      <c r="G601" s="6">
        <v>0</v>
      </c>
    </row>
    <row r="602" spans="1:7" x14ac:dyDescent="0.2">
      <c r="A602" t="s">
        <v>1025</v>
      </c>
      <c r="B602" t="s">
        <v>1112</v>
      </c>
      <c r="C602" t="s">
        <v>38</v>
      </c>
      <c r="D602">
        <v>3408</v>
      </c>
      <c r="E602" s="5">
        <v>42478.699791666666</v>
      </c>
      <c r="F602" t="s">
        <v>38</v>
      </c>
      <c r="G602" s="6">
        <v>0</v>
      </c>
    </row>
    <row r="603" spans="1:7" x14ac:dyDescent="0.2">
      <c r="A603" t="s">
        <v>1025</v>
      </c>
      <c r="B603" t="s">
        <v>1113</v>
      </c>
      <c r="C603" t="s">
        <v>38</v>
      </c>
      <c r="D603">
        <v>1</v>
      </c>
      <c r="E603" s="5">
        <v>42635.897141203706</v>
      </c>
      <c r="F603" t="s">
        <v>38</v>
      </c>
      <c r="G603" s="6">
        <v>0</v>
      </c>
    </row>
    <row r="604" spans="1:7" x14ac:dyDescent="0.2">
      <c r="A604" t="s">
        <v>1025</v>
      </c>
      <c r="B604" t="s">
        <v>1114</v>
      </c>
      <c r="C604" t="s">
        <v>38</v>
      </c>
      <c r="D604">
        <v>5761418</v>
      </c>
      <c r="E604" s="5">
        <v>42478.716412037036</v>
      </c>
      <c r="F604" t="s">
        <v>38</v>
      </c>
      <c r="G604" s="6">
        <v>0</v>
      </c>
    </row>
    <row r="605" spans="1:7" x14ac:dyDescent="0.2">
      <c r="A605" t="s">
        <v>1025</v>
      </c>
      <c r="B605" t="s">
        <v>1115</v>
      </c>
      <c r="C605" t="s">
        <v>38</v>
      </c>
      <c r="D605">
        <v>19390052</v>
      </c>
      <c r="E605" s="5">
        <v>42478.716412037036</v>
      </c>
      <c r="F605" t="s">
        <v>38</v>
      </c>
      <c r="G605" s="6">
        <v>0</v>
      </c>
    </row>
    <row r="606" spans="1:7" x14ac:dyDescent="0.2">
      <c r="A606" t="s">
        <v>1025</v>
      </c>
      <c r="B606" t="s">
        <v>1116</v>
      </c>
      <c r="C606" t="s">
        <v>1117</v>
      </c>
      <c r="D606">
        <v>16682174</v>
      </c>
      <c r="E606" s="5">
        <v>42478.699791666666</v>
      </c>
      <c r="F606" t="s">
        <v>1117</v>
      </c>
      <c r="G606" s="6">
        <v>111006</v>
      </c>
    </row>
    <row r="607" spans="1:7" x14ac:dyDescent="0.2">
      <c r="A607" t="s">
        <v>1025</v>
      </c>
      <c r="B607" t="s">
        <v>1118</v>
      </c>
      <c r="C607" t="s">
        <v>1119</v>
      </c>
      <c r="D607">
        <v>767546</v>
      </c>
      <c r="E607" s="5">
        <v>42635.896423611113</v>
      </c>
      <c r="F607" t="s">
        <v>1119</v>
      </c>
      <c r="G607" s="6">
        <v>60690</v>
      </c>
    </row>
    <row r="608" spans="1:7" x14ac:dyDescent="0.2">
      <c r="A608" t="s">
        <v>1025</v>
      </c>
      <c r="B608" t="s">
        <v>1120</v>
      </c>
      <c r="C608" t="s">
        <v>1121</v>
      </c>
      <c r="D608">
        <v>3</v>
      </c>
      <c r="E608" s="5">
        <v>42478.699791666666</v>
      </c>
      <c r="F608" t="s">
        <v>1121</v>
      </c>
      <c r="G608" s="6">
        <v>0</v>
      </c>
    </row>
    <row r="609" spans="1:7" x14ac:dyDescent="0.2">
      <c r="A609" t="s">
        <v>1025</v>
      </c>
      <c r="B609" t="s">
        <v>1122</v>
      </c>
      <c r="C609" t="s">
        <v>1123</v>
      </c>
      <c r="D609">
        <v>1223203</v>
      </c>
      <c r="E609" s="5">
        <v>42478.699791666666</v>
      </c>
      <c r="F609" t="s">
        <v>1123</v>
      </c>
      <c r="G609" s="6">
        <v>1267</v>
      </c>
    </row>
    <row r="610" spans="1:7" x14ac:dyDescent="0.2">
      <c r="A610" t="s">
        <v>1025</v>
      </c>
      <c r="B610" t="s">
        <v>1124</v>
      </c>
      <c r="C610" t="s">
        <v>38</v>
      </c>
      <c r="D610">
        <v>0</v>
      </c>
      <c r="E610" s="5">
        <v>42478.699791666666</v>
      </c>
      <c r="F610" t="s">
        <v>38</v>
      </c>
      <c r="G610" s="6">
        <v>0</v>
      </c>
    </row>
    <row r="611" spans="1:7" x14ac:dyDescent="0.2">
      <c r="A611" t="s">
        <v>1025</v>
      </c>
      <c r="B611" t="s">
        <v>1125</v>
      </c>
      <c r="C611" t="s">
        <v>38</v>
      </c>
      <c r="D611">
        <v>383528</v>
      </c>
      <c r="E611" s="5">
        <v>42478.699791666666</v>
      </c>
      <c r="F611" t="s">
        <v>38</v>
      </c>
      <c r="G611" s="6">
        <v>0</v>
      </c>
    </row>
    <row r="612" spans="1:7" x14ac:dyDescent="0.2">
      <c r="A612" t="s">
        <v>1025</v>
      </c>
      <c r="B612" t="s">
        <v>1126</v>
      </c>
      <c r="C612" t="s">
        <v>38</v>
      </c>
      <c r="D612">
        <v>23950243</v>
      </c>
      <c r="E612" s="5">
        <v>42478.699791666666</v>
      </c>
      <c r="F612" t="s">
        <v>38</v>
      </c>
      <c r="G612" s="6">
        <v>24197</v>
      </c>
    </row>
    <row r="613" spans="1:7" x14ac:dyDescent="0.2">
      <c r="A613" t="s">
        <v>1025</v>
      </c>
      <c r="B613" t="s">
        <v>1127</v>
      </c>
      <c r="C613" t="s">
        <v>38</v>
      </c>
      <c r="D613">
        <v>118</v>
      </c>
      <c r="E613" s="5">
        <v>42478.699791666666</v>
      </c>
      <c r="F613" t="s">
        <v>38</v>
      </c>
      <c r="G613" s="6">
        <v>0</v>
      </c>
    </row>
    <row r="614" spans="1:7" x14ac:dyDescent="0.2">
      <c r="A614" t="s">
        <v>1025</v>
      </c>
      <c r="B614" t="s">
        <v>1128</v>
      </c>
      <c r="C614" t="s">
        <v>38</v>
      </c>
      <c r="D614">
        <v>8</v>
      </c>
      <c r="E614" s="5">
        <v>42635.726967592593</v>
      </c>
      <c r="F614" t="s">
        <v>38</v>
      </c>
      <c r="G614" s="6">
        <v>0</v>
      </c>
    </row>
    <row r="615" spans="1:7" x14ac:dyDescent="0.2">
      <c r="A615" t="s">
        <v>1025</v>
      </c>
      <c r="B615" t="s">
        <v>1129</v>
      </c>
      <c r="C615" t="s">
        <v>38</v>
      </c>
      <c r="D615">
        <v>9</v>
      </c>
      <c r="E615" s="5">
        <v>42478.699791666666</v>
      </c>
      <c r="F615" t="s">
        <v>38</v>
      </c>
      <c r="G615" s="6">
        <v>0</v>
      </c>
    </row>
    <row r="616" spans="1:7" x14ac:dyDescent="0.2">
      <c r="A616" t="s">
        <v>1025</v>
      </c>
      <c r="B616" t="s">
        <v>1130</v>
      </c>
      <c r="C616" t="s">
        <v>38</v>
      </c>
      <c r="D616">
        <v>13918</v>
      </c>
      <c r="E616" s="5">
        <v>42482.594733796293</v>
      </c>
      <c r="F616" t="s">
        <v>38</v>
      </c>
      <c r="G616" s="6">
        <v>0</v>
      </c>
    </row>
    <row r="617" spans="1:7" x14ac:dyDescent="0.2">
      <c r="A617" t="s">
        <v>1025</v>
      </c>
      <c r="B617" t="s">
        <v>1131</v>
      </c>
      <c r="C617" t="s">
        <v>1132</v>
      </c>
      <c r="D617">
        <v>233</v>
      </c>
      <c r="E617" s="5">
        <v>42496.47320601852</v>
      </c>
      <c r="F617" t="s">
        <v>1132</v>
      </c>
      <c r="G617" s="6">
        <v>0</v>
      </c>
    </row>
    <row r="618" spans="1:7" x14ac:dyDescent="0.2">
      <c r="A618" t="s">
        <v>1025</v>
      </c>
      <c r="B618" t="s">
        <v>1133</v>
      </c>
      <c r="C618" t="s">
        <v>1134</v>
      </c>
      <c r="D618">
        <v>167</v>
      </c>
      <c r="E618" s="5">
        <v>42496.47320601852</v>
      </c>
      <c r="F618" t="s">
        <v>1134</v>
      </c>
      <c r="G618" s="6">
        <v>1</v>
      </c>
    </row>
    <row r="619" spans="1:7" x14ac:dyDescent="0.2">
      <c r="A619" t="s">
        <v>1025</v>
      </c>
      <c r="B619" t="s">
        <v>1135</v>
      </c>
      <c r="C619" t="s">
        <v>1136</v>
      </c>
      <c r="D619">
        <v>84365</v>
      </c>
      <c r="E619" s="5">
        <v>42496.47320601852</v>
      </c>
      <c r="F619" t="s">
        <v>1136</v>
      </c>
      <c r="G619" s="6">
        <v>135</v>
      </c>
    </row>
    <row r="620" spans="1:7" x14ac:dyDescent="0.2">
      <c r="A620" t="s">
        <v>1025</v>
      </c>
      <c r="B620" t="s">
        <v>1137</v>
      </c>
      <c r="C620" t="s">
        <v>1138</v>
      </c>
      <c r="D620">
        <v>85370</v>
      </c>
      <c r="E620" s="5">
        <v>42496.47320601852</v>
      </c>
      <c r="F620" t="s">
        <v>1138</v>
      </c>
      <c r="G620" s="6">
        <v>144</v>
      </c>
    </row>
    <row r="621" spans="1:7" x14ac:dyDescent="0.2">
      <c r="A621" t="s">
        <v>1025</v>
      </c>
      <c r="B621" t="s">
        <v>1139</v>
      </c>
      <c r="C621" t="s">
        <v>1140</v>
      </c>
      <c r="D621">
        <v>23045</v>
      </c>
      <c r="E621" s="5">
        <v>42496.47320601852</v>
      </c>
      <c r="F621" t="s">
        <v>1140</v>
      </c>
      <c r="G621" s="6">
        <v>23</v>
      </c>
    </row>
    <row r="622" spans="1:7" x14ac:dyDescent="0.2">
      <c r="A622" t="s">
        <v>1025</v>
      </c>
      <c r="B622" t="s">
        <v>1141</v>
      </c>
      <c r="C622" t="s">
        <v>1142</v>
      </c>
      <c r="D622">
        <v>84411</v>
      </c>
      <c r="E622" s="5">
        <v>42496.47320601852</v>
      </c>
      <c r="F622" t="s">
        <v>1142</v>
      </c>
      <c r="G622" s="6">
        <v>135</v>
      </c>
    </row>
    <row r="623" spans="1:7" x14ac:dyDescent="0.2">
      <c r="A623" t="s">
        <v>1025</v>
      </c>
      <c r="B623" t="s">
        <v>1143</v>
      </c>
      <c r="C623" t="s">
        <v>1144</v>
      </c>
      <c r="D623">
        <v>18549</v>
      </c>
      <c r="E623" s="5">
        <v>42503.021493055552</v>
      </c>
      <c r="F623" t="s">
        <v>1144</v>
      </c>
      <c r="G623" s="6">
        <v>-2229</v>
      </c>
    </row>
    <row r="624" spans="1:7" x14ac:dyDescent="0.2">
      <c r="A624" t="s">
        <v>1025</v>
      </c>
      <c r="B624" t="s">
        <v>1145</v>
      </c>
      <c r="C624" t="s">
        <v>1144</v>
      </c>
      <c r="D624">
        <v>35007</v>
      </c>
      <c r="E624" s="5">
        <v>42503.017824074072</v>
      </c>
      <c r="F624" t="s">
        <v>1144</v>
      </c>
      <c r="G624" s="6">
        <v>0</v>
      </c>
    </row>
    <row r="625" spans="1:7" x14ac:dyDescent="0.2">
      <c r="A625" t="s">
        <v>1025</v>
      </c>
      <c r="B625" t="s">
        <v>1146</v>
      </c>
      <c r="C625" t="s">
        <v>38</v>
      </c>
      <c r="D625">
        <v>0</v>
      </c>
      <c r="E625" s="5">
        <v>42478.699791666666</v>
      </c>
      <c r="F625" t="s">
        <v>38</v>
      </c>
      <c r="G625" s="6">
        <v>0</v>
      </c>
    </row>
    <row r="626" spans="1:7" x14ac:dyDescent="0.2">
      <c r="A626" t="s">
        <v>1025</v>
      </c>
      <c r="B626" t="s">
        <v>1147</v>
      </c>
      <c r="C626" t="s">
        <v>1148</v>
      </c>
      <c r="D626">
        <v>8</v>
      </c>
      <c r="E626" s="5">
        <v>42528.635960648149</v>
      </c>
      <c r="F626" t="s">
        <v>1148</v>
      </c>
      <c r="G626" s="6">
        <v>0</v>
      </c>
    </row>
    <row r="627" spans="1:7" x14ac:dyDescent="0.2">
      <c r="A627" t="s">
        <v>1025</v>
      </c>
      <c r="B627" t="s">
        <v>1149</v>
      </c>
      <c r="C627" t="s">
        <v>38</v>
      </c>
      <c r="D627">
        <v>546546</v>
      </c>
      <c r="E627" s="5">
        <v>42478.699791666666</v>
      </c>
      <c r="F627" t="s">
        <v>38</v>
      </c>
      <c r="G627" s="6">
        <v>0</v>
      </c>
    </row>
    <row r="628" spans="1:7" x14ac:dyDescent="0.2">
      <c r="A628" t="s">
        <v>1025</v>
      </c>
      <c r="B628" t="s">
        <v>536</v>
      </c>
      <c r="C628" t="s">
        <v>38</v>
      </c>
      <c r="D628">
        <v>20115268</v>
      </c>
      <c r="E628" s="5">
        <v>42478.699791666666</v>
      </c>
      <c r="F628" t="s">
        <v>38</v>
      </c>
      <c r="G628" s="6">
        <v>45822</v>
      </c>
    </row>
    <row r="629" spans="1:7" x14ac:dyDescent="0.2">
      <c r="A629" t="s">
        <v>1025</v>
      </c>
      <c r="B629" t="s">
        <v>1150</v>
      </c>
      <c r="C629" t="s">
        <v>38</v>
      </c>
      <c r="D629">
        <v>11</v>
      </c>
      <c r="E629" s="5">
        <v>42478.699791666666</v>
      </c>
      <c r="F629" t="s">
        <v>38</v>
      </c>
      <c r="G629" s="6">
        <v>0</v>
      </c>
    </row>
    <row r="630" spans="1:7" x14ac:dyDescent="0.2">
      <c r="A630" t="s">
        <v>1025</v>
      </c>
      <c r="B630" t="s">
        <v>1151</v>
      </c>
      <c r="C630" t="s">
        <v>38</v>
      </c>
      <c r="D630">
        <v>0</v>
      </c>
      <c r="E630" s="5">
        <v>42478.699791666666</v>
      </c>
      <c r="F630" t="s">
        <v>38</v>
      </c>
      <c r="G630" s="6">
        <v>0</v>
      </c>
    </row>
    <row r="631" spans="1:7" x14ac:dyDescent="0.2">
      <c r="A631" t="s">
        <v>1025</v>
      </c>
      <c r="B631" t="s">
        <v>1152</v>
      </c>
      <c r="C631" t="s">
        <v>38</v>
      </c>
      <c r="D631">
        <v>6</v>
      </c>
      <c r="E631" s="5">
        <v>42478.699791666666</v>
      </c>
      <c r="F631" t="s">
        <v>38</v>
      </c>
      <c r="G631" s="6">
        <v>0</v>
      </c>
    </row>
    <row r="632" spans="1:7" x14ac:dyDescent="0.2">
      <c r="A632" t="s">
        <v>1025</v>
      </c>
      <c r="B632" t="s">
        <v>1153</v>
      </c>
      <c r="C632" t="s">
        <v>38</v>
      </c>
      <c r="D632">
        <v>26</v>
      </c>
      <c r="E632" s="5">
        <v>42478.699791666666</v>
      </c>
      <c r="F632" t="s">
        <v>38</v>
      </c>
      <c r="G632" s="6">
        <v>0</v>
      </c>
    </row>
    <row r="633" spans="1:7" x14ac:dyDescent="0.2">
      <c r="A633" t="s">
        <v>1025</v>
      </c>
      <c r="B633" t="s">
        <v>1154</v>
      </c>
      <c r="C633" t="s">
        <v>1155</v>
      </c>
      <c r="D633">
        <v>6</v>
      </c>
      <c r="E633" s="5">
        <v>42478.699791666666</v>
      </c>
      <c r="F633" t="s">
        <v>1155</v>
      </c>
      <c r="G633" s="6">
        <v>0</v>
      </c>
    </row>
    <row r="634" spans="1:7" x14ac:dyDescent="0.2">
      <c r="A634" t="s">
        <v>1025</v>
      </c>
      <c r="B634" t="s">
        <v>1156</v>
      </c>
      <c r="C634" t="s">
        <v>1157</v>
      </c>
      <c r="D634">
        <v>295058</v>
      </c>
      <c r="E634" s="5">
        <v>42478.699791666666</v>
      </c>
      <c r="F634" t="s">
        <v>1157</v>
      </c>
      <c r="G634" s="6">
        <v>0</v>
      </c>
    </row>
    <row r="635" spans="1:7" x14ac:dyDescent="0.2">
      <c r="A635" t="s">
        <v>1025</v>
      </c>
      <c r="B635" t="s">
        <v>1158</v>
      </c>
      <c r="C635" t="s">
        <v>1159</v>
      </c>
      <c r="D635">
        <v>41</v>
      </c>
      <c r="E635" s="5">
        <v>42478.699791666666</v>
      </c>
      <c r="F635" t="s">
        <v>1159</v>
      </c>
      <c r="G635" s="6">
        <v>0</v>
      </c>
    </row>
    <row r="636" spans="1:7" x14ac:dyDescent="0.2">
      <c r="A636" t="s">
        <v>1025</v>
      </c>
      <c r="B636" t="s">
        <v>1160</v>
      </c>
      <c r="C636" t="s">
        <v>1161</v>
      </c>
      <c r="D636">
        <v>9</v>
      </c>
      <c r="E636" s="5">
        <v>42478.699791666666</v>
      </c>
      <c r="F636" t="s">
        <v>1161</v>
      </c>
      <c r="G636" s="6">
        <v>0</v>
      </c>
    </row>
    <row r="637" spans="1:7" x14ac:dyDescent="0.2">
      <c r="A637" t="s">
        <v>1025</v>
      </c>
      <c r="B637" t="s">
        <v>1162</v>
      </c>
      <c r="C637" t="s">
        <v>38</v>
      </c>
      <c r="D637">
        <v>0</v>
      </c>
      <c r="E637" s="5">
        <v>42478.699791666666</v>
      </c>
      <c r="F637" t="s">
        <v>38</v>
      </c>
      <c r="G637" s="6">
        <v>0</v>
      </c>
    </row>
    <row r="638" spans="1:7" x14ac:dyDescent="0.2">
      <c r="A638" t="s">
        <v>1025</v>
      </c>
      <c r="B638" t="s">
        <v>1163</v>
      </c>
      <c r="C638" t="s">
        <v>38</v>
      </c>
      <c r="D638">
        <v>1</v>
      </c>
      <c r="E638" s="5">
        <v>42478.699791666666</v>
      </c>
      <c r="F638" t="s">
        <v>38</v>
      </c>
      <c r="G638" s="6">
        <v>0</v>
      </c>
    </row>
    <row r="639" spans="1:7" x14ac:dyDescent="0.2">
      <c r="A639" t="s">
        <v>1025</v>
      </c>
      <c r="B639" t="s">
        <v>1164</v>
      </c>
      <c r="C639" t="s">
        <v>38</v>
      </c>
      <c r="D639">
        <v>13</v>
      </c>
      <c r="E639" s="5">
        <v>42478.699791666666</v>
      </c>
      <c r="F639" t="s">
        <v>38</v>
      </c>
      <c r="G639" s="6">
        <v>0</v>
      </c>
    </row>
    <row r="640" spans="1:7" x14ac:dyDescent="0.2">
      <c r="A640" t="s">
        <v>1025</v>
      </c>
      <c r="B640" t="s">
        <v>1165</v>
      </c>
      <c r="C640" t="s">
        <v>1088</v>
      </c>
      <c r="D640">
        <v>0</v>
      </c>
      <c r="E640" s="5">
        <v>42478.699791666666</v>
      </c>
      <c r="F640" t="s">
        <v>1088</v>
      </c>
      <c r="G640" s="6">
        <v>0</v>
      </c>
    </row>
    <row r="641" spans="1:7" x14ac:dyDescent="0.2">
      <c r="A641" t="s">
        <v>1025</v>
      </c>
      <c r="B641" t="s">
        <v>1166</v>
      </c>
      <c r="C641" t="s">
        <v>38</v>
      </c>
      <c r="D641">
        <v>15</v>
      </c>
      <c r="E641" s="5">
        <v>42478.699791666666</v>
      </c>
      <c r="F641" t="s">
        <v>38</v>
      </c>
      <c r="G641" s="6">
        <v>0</v>
      </c>
    </row>
    <row r="642" spans="1:7" x14ac:dyDescent="0.2">
      <c r="A642" t="s">
        <v>1025</v>
      </c>
      <c r="B642" t="s">
        <v>1167</v>
      </c>
      <c r="C642" t="s">
        <v>1168</v>
      </c>
      <c r="D642">
        <v>6155</v>
      </c>
      <c r="E642" s="5">
        <v>42600.709861111114</v>
      </c>
      <c r="F642" t="s">
        <v>1168</v>
      </c>
      <c r="G642" s="6">
        <v>408</v>
      </c>
    </row>
    <row r="643" spans="1:7" x14ac:dyDescent="0.2">
      <c r="A643" t="s">
        <v>1025</v>
      </c>
      <c r="B643" t="s">
        <v>1169</v>
      </c>
      <c r="C643" t="s">
        <v>38</v>
      </c>
      <c r="D643">
        <v>9</v>
      </c>
      <c r="E643" s="5">
        <v>42478.699791666666</v>
      </c>
      <c r="F643" t="s">
        <v>38</v>
      </c>
      <c r="G643" s="6">
        <v>0</v>
      </c>
    </row>
    <row r="644" spans="1:7" x14ac:dyDescent="0.2">
      <c r="A644" t="s">
        <v>1025</v>
      </c>
      <c r="B644" t="s">
        <v>1170</v>
      </c>
      <c r="C644" t="s">
        <v>1091</v>
      </c>
      <c r="D644">
        <v>15</v>
      </c>
      <c r="E644" s="5">
        <v>42478.699791666666</v>
      </c>
      <c r="F644" t="s">
        <v>1091</v>
      </c>
      <c r="G644" s="6">
        <v>0</v>
      </c>
    </row>
    <row r="645" spans="1:7" x14ac:dyDescent="0.2">
      <c r="A645" t="s">
        <v>1025</v>
      </c>
      <c r="B645" t="s">
        <v>1171</v>
      </c>
      <c r="C645" t="s">
        <v>38</v>
      </c>
      <c r="D645">
        <v>84612</v>
      </c>
      <c r="E645" s="5">
        <v>42478.699791666666</v>
      </c>
      <c r="F645" t="s">
        <v>38</v>
      </c>
      <c r="G645" s="6">
        <v>102</v>
      </c>
    </row>
    <row r="646" spans="1:7" x14ac:dyDescent="0.2">
      <c r="A646" t="s">
        <v>1025</v>
      </c>
      <c r="B646" t="s">
        <v>1172</v>
      </c>
      <c r="C646" t="s">
        <v>38</v>
      </c>
      <c r="D646">
        <v>1697</v>
      </c>
      <c r="E646" s="5">
        <v>42635.896319444444</v>
      </c>
      <c r="F646" t="s">
        <v>38</v>
      </c>
      <c r="G646" s="6">
        <v>96</v>
      </c>
    </row>
    <row r="647" spans="1:7" x14ac:dyDescent="0.2">
      <c r="A647" t="s">
        <v>1025</v>
      </c>
      <c r="B647" t="s">
        <v>1173</v>
      </c>
      <c r="C647" t="s">
        <v>38</v>
      </c>
      <c r="D647">
        <v>12</v>
      </c>
      <c r="E647" s="5">
        <v>42478.699791666666</v>
      </c>
      <c r="F647" t="s">
        <v>38</v>
      </c>
      <c r="G647" s="6">
        <v>0</v>
      </c>
    </row>
    <row r="648" spans="1:7" x14ac:dyDescent="0.2">
      <c r="A648" t="s">
        <v>1025</v>
      </c>
      <c r="B648" t="s">
        <v>1174</v>
      </c>
      <c r="C648" t="s">
        <v>38</v>
      </c>
      <c r="D648">
        <v>27</v>
      </c>
      <c r="E648" s="5">
        <v>42478.699791666666</v>
      </c>
      <c r="F648" t="s">
        <v>38</v>
      </c>
      <c r="G648" s="6">
        <v>0</v>
      </c>
    </row>
    <row r="649" spans="1:7" x14ac:dyDescent="0.2">
      <c r="A649" t="s">
        <v>1025</v>
      </c>
      <c r="B649" t="s">
        <v>1175</v>
      </c>
      <c r="C649" t="s">
        <v>1176</v>
      </c>
      <c r="D649">
        <v>17</v>
      </c>
      <c r="E649" s="5">
        <v>42478.699791666666</v>
      </c>
      <c r="F649" t="s">
        <v>1176</v>
      </c>
      <c r="G649" s="6">
        <v>0</v>
      </c>
    </row>
    <row r="650" spans="1:7" x14ac:dyDescent="0.2">
      <c r="A650" t="s">
        <v>1025</v>
      </c>
      <c r="B650" t="s">
        <v>1177</v>
      </c>
      <c r="C650" t="s">
        <v>1178</v>
      </c>
      <c r="D650">
        <v>0</v>
      </c>
      <c r="E650" s="5">
        <v>42478.699791666666</v>
      </c>
      <c r="F650" t="s">
        <v>1178</v>
      </c>
      <c r="G650" s="6">
        <v>0</v>
      </c>
    </row>
    <row r="651" spans="1:7" x14ac:dyDescent="0.2">
      <c r="A651" t="s">
        <v>1025</v>
      </c>
      <c r="B651" t="s">
        <v>1179</v>
      </c>
      <c r="C651" t="s">
        <v>1180</v>
      </c>
      <c r="D651">
        <v>17</v>
      </c>
      <c r="E651" s="5">
        <v>42478.699791666666</v>
      </c>
      <c r="F651" t="s">
        <v>1180</v>
      </c>
      <c r="G651" s="6">
        <v>0</v>
      </c>
    </row>
    <row r="652" spans="1:7" x14ac:dyDescent="0.2">
      <c r="A652" t="s">
        <v>1025</v>
      </c>
      <c r="B652" t="s">
        <v>1181</v>
      </c>
      <c r="C652" t="s">
        <v>38</v>
      </c>
      <c r="D652">
        <v>1</v>
      </c>
      <c r="E652" s="5">
        <v>42478.699791666666</v>
      </c>
      <c r="F652" t="s">
        <v>38</v>
      </c>
      <c r="G652" s="6">
        <v>0</v>
      </c>
    </row>
    <row r="653" spans="1:7" x14ac:dyDescent="0.2">
      <c r="A653" t="s">
        <v>1025</v>
      </c>
      <c r="B653" t="s">
        <v>1182</v>
      </c>
      <c r="C653" t="s">
        <v>38</v>
      </c>
      <c r="D653">
        <v>45</v>
      </c>
      <c r="E653" s="5">
        <v>42478.699791666666</v>
      </c>
      <c r="F653" t="s">
        <v>38</v>
      </c>
      <c r="G653" s="6">
        <v>0</v>
      </c>
    </row>
    <row r="654" spans="1:7" x14ac:dyDescent="0.2">
      <c r="A654" t="s">
        <v>1025</v>
      </c>
      <c r="B654" t="s">
        <v>1183</v>
      </c>
      <c r="C654" t="s">
        <v>38</v>
      </c>
      <c r="D654">
        <v>981</v>
      </c>
      <c r="E654" s="5">
        <v>42478.699791666666</v>
      </c>
      <c r="F654" t="s">
        <v>38</v>
      </c>
      <c r="G654" s="6">
        <v>0</v>
      </c>
    </row>
    <row r="655" spans="1:7" x14ac:dyDescent="0.2">
      <c r="A655" t="s">
        <v>1025</v>
      </c>
      <c r="B655" t="s">
        <v>1184</v>
      </c>
      <c r="C655" t="s">
        <v>38</v>
      </c>
      <c r="D655">
        <v>50688</v>
      </c>
      <c r="E655" s="5">
        <v>42478.699791666666</v>
      </c>
      <c r="F655" t="s">
        <v>38</v>
      </c>
      <c r="G655" s="6">
        <v>0</v>
      </c>
    </row>
    <row r="656" spans="1:7" x14ac:dyDescent="0.2">
      <c r="A656" t="s">
        <v>1025</v>
      </c>
      <c r="B656" t="s">
        <v>1185</v>
      </c>
      <c r="C656" t="s">
        <v>38</v>
      </c>
      <c r="D656">
        <v>2328976</v>
      </c>
      <c r="E656" s="5">
        <v>42478.699791666666</v>
      </c>
      <c r="F656" t="s">
        <v>38</v>
      </c>
      <c r="G656" s="6">
        <v>0</v>
      </c>
    </row>
    <row r="657" spans="1:7" x14ac:dyDescent="0.2">
      <c r="A657" t="s">
        <v>1025</v>
      </c>
      <c r="B657" t="s">
        <v>1186</v>
      </c>
      <c r="C657" t="s">
        <v>38</v>
      </c>
      <c r="D657">
        <v>429082</v>
      </c>
      <c r="E657" s="5">
        <v>42478.699791666666</v>
      </c>
      <c r="F657" t="s">
        <v>38</v>
      </c>
      <c r="G657" s="6">
        <v>0</v>
      </c>
    </row>
    <row r="658" spans="1:7" x14ac:dyDescent="0.2">
      <c r="A658" t="s">
        <v>1025</v>
      </c>
      <c r="B658" t="s">
        <v>1187</v>
      </c>
      <c r="C658" t="s">
        <v>38</v>
      </c>
      <c r="D658">
        <v>1528777</v>
      </c>
      <c r="E658" s="5">
        <v>42478.699791666666</v>
      </c>
      <c r="F658" t="s">
        <v>38</v>
      </c>
      <c r="G658" s="6">
        <v>0</v>
      </c>
    </row>
    <row r="659" spans="1:7" x14ac:dyDescent="0.2">
      <c r="A659" t="s">
        <v>1025</v>
      </c>
      <c r="B659" t="s">
        <v>1188</v>
      </c>
      <c r="C659" t="s">
        <v>38</v>
      </c>
      <c r="D659">
        <v>519665</v>
      </c>
      <c r="E659" s="5">
        <v>42478.699791666666</v>
      </c>
      <c r="F659" t="s">
        <v>38</v>
      </c>
      <c r="G659" s="6">
        <v>0</v>
      </c>
    </row>
    <row r="660" spans="1:7" x14ac:dyDescent="0.2">
      <c r="A660" t="s">
        <v>1025</v>
      </c>
      <c r="B660" t="s">
        <v>1189</v>
      </c>
      <c r="C660" t="s">
        <v>38</v>
      </c>
      <c r="D660">
        <v>428968</v>
      </c>
      <c r="E660" s="5">
        <v>42478.699791666666</v>
      </c>
      <c r="F660" t="s">
        <v>38</v>
      </c>
      <c r="G660" s="6">
        <v>0</v>
      </c>
    </row>
    <row r="661" spans="1:7" x14ac:dyDescent="0.2">
      <c r="A661" t="s">
        <v>1025</v>
      </c>
      <c r="B661" t="s">
        <v>1190</v>
      </c>
      <c r="C661" t="s">
        <v>1191</v>
      </c>
      <c r="D661">
        <v>0</v>
      </c>
      <c r="E661" s="5">
        <v>42478.699791666666</v>
      </c>
      <c r="F661" t="s">
        <v>1191</v>
      </c>
      <c r="G661" s="6">
        <v>0</v>
      </c>
    </row>
    <row r="662" spans="1:7" x14ac:dyDescent="0.2">
      <c r="A662" t="s">
        <v>1025</v>
      </c>
      <c r="B662" t="s">
        <v>1192</v>
      </c>
      <c r="C662" t="s">
        <v>38</v>
      </c>
      <c r="D662">
        <v>0</v>
      </c>
      <c r="E662" s="5">
        <v>42478.699791666666</v>
      </c>
      <c r="F662" t="s">
        <v>38</v>
      </c>
      <c r="G662" s="6">
        <v>0</v>
      </c>
    </row>
    <row r="663" spans="1:7" x14ac:dyDescent="0.2">
      <c r="A663" t="s">
        <v>1025</v>
      </c>
      <c r="B663" t="s">
        <v>1193</v>
      </c>
      <c r="C663" t="s">
        <v>1194</v>
      </c>
      <c r="D663">
        <v>1282</v>
      </c>
      <c r="E663" s="5">
        <v>42478.699791666666</v>
      </c>
      <c r="F663" t="s">
        <v>1194</v>
      </c>
      <c r="G663" s="6">
        <v>27</v>
      </c>
    </row>
    <row r="664" spans="1:7" x14ac:dyDescent="0.2">
      <c r="A664" t="s">
        <v>1025</v>
      </c>
      <c r="B664" t="s">
        <v>1195</v>
      </c>
      <c r="C664" t="s">
        <v>1196</v>
      </c>
      <c r="D664">
        <v>5</v>
      </c>
      <c r="E664" s="5">
        <v>42478.699791666666</v>
      </c>
      <c r="F664" t="s">
        <v>1196</v>
      </c>
      <c r="G664" s="6">
        <v>0</v>
      </c>
    </row>
    <row r="665" spans="1:7" x14ac:dyDescent="0.2">
      <c r="A665" t="s">
        <v>1025</v>
      </c>
      <c r="B665" t="s">
        <v>1197</v>
      </c>
      <c r="C665" t="s">
        <v>38</v>
      </c>
      <c r="D665">
        <v>1</v>
      </c>
      <c r="E665" s="5">
        <v>42478.699791666666</v>
      </c>
      <c r="F665" t="s">
        <v>38</v>
      </c>
      <c r="G665" s="6">
        <v>0</v>
      </c>
    </row>
    <row r="666" spans="1:7" x14ac:dyDescent="0.2">
      <c r="A666" t="s">
        <v>1025</v>
      </c>
      <c r="B666" t="s">
        <v>1198</v>
      </c>
      <c r="C666" t="s">
        <v>38</v>
      </c>
      <c r="D666">
        <v>13568</v>
      </c>
      <c r="E666" s="5">
        <v>42527.623206018521</v>
      </c>
      <c r="F666" t="s">
        <v>38</v>
      </c>
      <c r="G666" s="6">
        <v>0</v>
      </c>
    </row>
    <row r="667" spans="1:7" x14ac:dyDescent="0.2">
      <c r="A667" t="s">
        <v>1025</v>
      </c>
      <c r="B667" t="s">
        <v>1199</v>
      </c>
      <c r="C667" t="s">
        <v>38</v>
      </c>
      <c r="D667">
        <v>14</v>
      </c>
      <c r="E667" s="5">
        <v>42478.699791666666</v>
      </c>
      <c r="F667" t="s">
        <v>38</v>
      </c>
      <c r="G667" s="6">
        <v>0</v>
      </c>
    </row>
    <row r="668" spans="1:7" x14ac:dyDescent="0.2">
      <c r="A668" t="s">
        <v>1025</v>
      </c>
      <c r="B668" t="s">
        <v>1200</v>
      </c>
      <c r="C668" t="s">
        <v>38</v>
      </c>
      <c r="D668">
        <v>9515</v>
      </c>
      <c r="E668" s="5">
        <v>42478.699791666666</v>
      </c>
      <c r="F668" t="s">
        <v>38</v>
      </c>
      <c r="G668" s="6">
        <v>0</v>
      </c>
    </row>
    <row r="669" spans="1:7" x14ac:dyDescent="0.2">
      <c r="A669" t="s">
        <v>1025</v>
      </c>
      <c r="B669" t="s">
        <v>1201</v>
      </c>
      <c r="C669" t="s">
        <v>38</v>
      </c>
      <c r="D669">
        <v>23562</v>
      </c>
      <c r="E669" s="5">
        <v>42478.699791666666</v>
      </c>
      <c r="F669" t="s">
        <v>38</v>
      </c>
      <c r="G669" s="6">
        <v>0</v>
      </c>
    </row>
    <row r="670" spans="1:7" x14ac:dyDescent="0.2">
      <c r="A670" t="s">
        <v>1025</v>
      </c>
      <c r="B670" t="s">
        <v>1202</v>
      </c>
      <c r="C670" t="s">
        <v>38</v>
      </c>
      <c r="D670">
        <v>64946355</v>
      </c>
      <c r="E670" s="5">
        <v>42478.699791666666</v>
      </c>
      <c r="F670" t="s">
        <v>38</v>
      </c>
      <c r="G670" s="6">
        <v>186184</v>
      </c>
    </row>
    <row r="671" spans="1:7" x14ac:dyDescent="0.2">
      <c r="A671" t="s">
        <v>1025</v>
      </c>
      <c r="B671" t="s">
        <v>1203</v>
      </c>
      <c r="C671" t="s">
        <v>1204</v>
      </c>
      <c r="D671">
        <v>17147418</v>
      </c>
      <c r="E671" s="5">
        <v>42563.729074074072</v>
      </c>
      <c r="F671" t="s">
        <v>1204</v>
      </c>
      <c r="G671" s="6">
        <v>89050</v>
      </c>
    </row>
    <row r="672" spans="1:7" x14ac:dyDescent="0.2">
      <c r="A672" t="s">
        <v>1025</v>
      </c>
      <c r="B672" t="s">
        <v>1205</v>
      </c>
      <c r="C672" t="s">
        <v>38</v>
      </c>
      <c r="D672">
        <v>11</v>
      </c>
      <c r="E672" s="5">
        <v>42478.699791666666</v>
      </c>
      <c r="F672" t="s">
        <v>38</v>
      </c>
      <c r="G672" s="6">
        <v>0</v>
      </c>
    </row>
    <row r="673" spans="1:7" x14ac:dyDescent="0.2">
      <c r="A673" t="s">
        <v>1025</v>
      </c>
      <c r="B673" t="s">
        <v>1206</v>
      </c>
      <c r="C673" t="s">
        <v>38</v>
      </c>
      <c r="D673">
        <v>0</v>
      </c>
      <c r="E673" s="5">
        <v>42478.699791666666</v>
      </c>
      <c r="F673" t="s">
        <v>38</v>
      </c>
      <c r="G673" s="6">
        <v>0</v>
      </c>
    </row>
    <row r="674" spans="1:7" x14ac:dyDescent="0.2">
      <c r="A674" t="s">
        <v>1025</v>
      </c>
      <c r="B674" t="s">
        <v>1207</v>
      </c>
      <c r="C674" t="s">
        <v>38</v>
      </c>
      <c r="D674">
        <v>57</v>
      </c>
      <c r="E674" s="5">
        <v>42478.699791666666</v>
      </c>
      <c r="F674" t="s">
        <v>38</v>
      </c>
      <c r="G674" s="6">
        <v>0</v>
      </c>
    </row>
    <row r="675" spans="1:7" x14ac:dyDescent="0.2">
      <c r="A675" t="s">
        <v>1025</v>
      </c>
      <c r="B675" t="s">
        <v>1208</v>
      </c>
      <c r="C675" t="s">
        <v>38</v>
      </c>
      <c r="D675">
        <v>54827</v>
      </c>
      <c r="E675" s="5">
        <v>42478.699791666666</v>
      </c>
      <c r="F675" t="s">
        <v>38</v>
      </c>
      <c r="G675" s="6">
        <v>0</v>
      </c>
    </row>
    <row r="676" spans="1:7" x14ac:dyDescent="0.2">
      <c r="A676" t="s">
        <v>1025</v>
      </c>
      <c r="B676" t="s">
        <v>1209</v>
      </c>
      <c r="C676" t="s">
        <v>38</v>
      </c>
      <c r="D676">
        <v>359</v>
      </c>
      <c r="E676" s="5">
        <v>42478.699791666666</v>
      </c>
      <c r="F676" t="s">
        <v>38</v>
      </c>
      <c r="G676" s="6">
        <v>0</v>
      </c>
    </row>
    <row r="677" spans="1:7" x14ac:dyDescent="0.2">
      <c r="A677" t="s">
        <v>1025</v>
      </c>
      <c r="B677" t="s">
        <v>1210</v>
      </c>
      <c r="C677" t="s">
        <v>38</v>
      </c>
      <c r="D677">
        <v>2</v>
      </c>
      <c r="E677" s="5">
        <v>42478.699791666666</v>
      </c>
      <c r="F677" t="s">
        <v>38</v>
      </c>
      <c r="G677" s="6">
        <v>0</v>
      </c>
    </row>
    <row r="678" spans="1:7" x14ac:dyDescent="0.2">
      <c r="A678" t="s">
        <v>1025</v>
      </c>
      <c r="B678" t="s">
        <v>645</v>
      </c>
      <c r="C678" t="s">
        <v>38</v>
      </c>
      <c r="D678">
        <v>0</v>
      </c>
      <c r="E678" s="5">
        <v>42478.699791666666</v>
      </c>
      <c r="F678" t="s">
        <v>38</v>
      </c>
      <c r="G678" s="6">
        <v>0</v>
      </c>
    </row>
    <row r="679" spans="1:7" x14ac:dyDescent="0.2">
      <c r="A679" t="s">
        <v>1025</v>
      </c>
      <c r="B679" t="s">
        <v>1211</v>
      </c>
      <c r="C679" t="s">
        <v>38</v>
      </c>
      <c r="D679">
        <v>12</v>
      </c>
      <c r="E679" s="5">
        <v>42478.699791666666</v>
      </c>
      <c r="F679" t="s">
        <v>38</v>
      </c>
      <c r="G679" s="6">
        <v>0</v>
      </c>
    </row>
    <row r="680" spans="1:7" x14ac:dyDescent="0.2">
      <c r="A680" t="s">
        <v>1025</v>
      </c>
      <c r="B680" t="s">
        <v>1212</v>
      </c>
      <c r="C680" t="s">
        <v>38</v>
      </c>
      <c r="D680">
        <v>14</v>
      </c>
      <c r="E680" s="5">
        <v>42478.699791666666</v>
      </c>
      <c r="F680" t="s">
        <v>38</v>
      </c>
      <c r="G680" s="6">
        <v>0</v>
      </c>
    </row>
    <row r="681" spans="1:7" x14ac:dyDescent="0.2">
      <c r="A681" t="s">
        <v>1025</v>
      </c>
      <c r="B681" t="s">
        <v>1213</v>
      </c>
      <c r="C681" t="s">
        <v>1214</v>
      </c>
      <c r="D681">
        <v>127</v>
      </c>
      <c r="E681" s="5">
        <v>42478.699791666666</v>
      </c>
      <c r="F681" t="s">
        <v>1214</v>
      </c>
      <c r="G681" s="6">
        <v>0</v>
      </c>
    </row>
    <row r="682" spans="1:7" x14ac:dyDescent="0.2">
      <c r="A682" t="s">
        <v>1025</v>
      </c>
      <c r="B682" t="s">
        <v>1215</v>
      </c>
      <c r="C682" t="s">
        <v>38</v>
      </c>
      <c r="D682">
        <v>98</v>
      </c>
      <c r="E682" s="5">
        <v>42485.669317129628</v>
      </c>
      <c r="F682" t="s">
        <v>38</v>
      </c>
      <c r="G682" s="6">
        <v>0</v>
      </c>
    </row>
    <row r="683" spans="1:7" x14ac:dyDescent="0.2">
      <c r="A683" t="s">
        <v>1025</v>
      </c>
      <c r="B683" t="s">
        <v>1216</v>
      </c>
      <c r="C683" t="s">
        <v>38</v>
      </c>
      <c r="D683">
        <v>2805</v>
      </c>
      <c r="E683" s="5">
        <v>42478.699791666666</v>
      </c>
      <c r="F683" t="s">
        <v>38</v>
      </c>
      <c r="G683" s="6">
        <v>0</v>
      </c>
    </row>
    <row r="684" spans="1:7" x14ac:dyDescent="0.2">
      <c r="A684" t="s">
        <v>1025</v>
      </c>
      <c r="B684" t="s">
        <v>1217</v>
      </c>
      <c r="C684" t="s">
        <v>38</v>
      </c>
      <c r="D684">
        <v>31</v>
      </c>
      <c r="E684" s="5">
        <v>42478.699791666666</v>
      </c>
      <c r="F684" t="s">
        <v>38</v>
      </c>
      <c r="G684" s="6">
        <v>0</v>
      </c>
    </row>
    <row r="685" spans="1:7" x14ac:dyDescent="0.2">
      <c r="A685" t="s">
        <v>1025</v>
      </c>
      <c r="B685" t="s">
        <v>1218</v>
      </c>
      <c r="C685" t="s">
        <v>1148</v>
      </c>
      <c r="D685">
        <v>0</v>
      </c>
      <c r="E685" s="5">
        <v>42528.635960648149</v>
      </c>
      <c r="F685" t="s">
        <v>1148</v>
      </c>
      <c r="G685" s="6">
        <v>0</v>
      </c>
    </row>
    <row r="686" spans="1:7" x14ac:dyDescent="0.2">
      <c r="A686" t="s">
        <v>1025</v>
      </c>
      <c r="B686" t="s">
        <v>1219</v>
      </c>
      <c r="C686" t="s">
        <v>38</v>
      </c>
      <c r="D686">
        <v>0</v>
      </c>
      <c r="E686" s="5">
        <v>42478.699791666666</v>
      </c>
      <c r="F686" t="s">
        <v>38</v>
      </c>
      <c r="G686" s="6">
        <v>0</v>
      </c>
    </row>
    <row r="687" spans="1:7" x14ac:dyDescent="0.2">
      <c r="A687" t="s">
        <v>1025</v>
      </c>
      <c r="B687" t="s">
        <v>1220</v>
      </c>
      <c r="C687" t="s">
        <v>38</v>
      </c>
      <c r="D687">
        <v>2</v>
      </c>
      <c r="E687" s="5">
        <v>42478.699791666666</v>
      </c>
      <c r="F687" t="s">
        <v>38</v>
      </c>
      <c r="G687" s="6">
        <v>0</v>
      </c>
    </row>
    <row r="688" spans="1:7" x14ac:dyDescent="0.2">
      <c r="A688" t="s">
        <v>1025</v>
      </c>
      <c r="B688" t="s">
        <v>1221</v>
      </c>
      <c r="C688" t="s">
        <v>1222</v>
      </c>
      <c r="D688">
        <v>6465453</v>
      </c>
      <c r="E688" s="5">
        <v>42478.699791666666</v>
      </c>
      <c r="F688" t="s">
        <v>1222</v>
      </c>
      <c r="G688" s="6">
        <v>11869</v>
      </c>
    </row>
    <row r="689" spans="1:7" x14ac:dyDescent="0.2">
      <c r="A689" t="s">
        <v>1025</v>
      </c>
      <c r="B689" t="s">
        <v>1223</v>
      </c>
      <c r="C689" t="s">
        <v>1224</v>
      </c>
      <c r="D689">
        <v>129780</v>
      </c>
      <c r="E689" s="5">
        <v>42478.699791666666</v>
      </c>
      <c r="F689" t="s">
        <v>1224</v>
      </c>
      <c r="G689" s="6">
        <v>0</v>
      </c>
    </row>
    <row r="690" spans="1:7" x14ac:dyDescent="0.2">
      <c r="A690" t="s">
        <v>1025</v>
      </c>
      <c r="B690" t="s">
        <v>1225</v>
      </c>
      <c r="C690" t="s">
        <v>1226</v>
      </c>
      <c r="D690">
        <v>2</v>
      </c>
      <c r="E690" s="5">
        <v>42485.714641203704</v>
      </c>
      <c r="F690" t="s">
        <v>1226</v>
      </c>
      <c r="G690" s="6">
        <v>0</v>
      </c>
    </row>
    <row r="691" spans="1:7" x14ac:dyDescent="0.2">
      <c r="A691" t="s">
        <v>1025</v>
      </c>
      <c r="B691" t="s">
        <v>1227</v>
      </c>
      <c r="C691" t="s">
        <v>1228</v>
      </c>
      <c r="D691">
        <v>59905</v>
      </c>
      <c r="E691" s="5">
        <v>42653.49496527778</v>
      </c>
      <c r="F691" t="s">
        <v>1228</v>
      </c>
      <c r="G691" s="6">
        <v>50503</v>
      </c>
    </row>
    <row r="692" spans="1:7" x14ac:dyDescent="0.2">
      <c r="A692" t="s">
        <v>1025</v>
      </c>
      <c r="B692" t="s">
        <v>1229</v>
      </c>
      <c r="C692" t="s">
        <v>38</v>
      </c>
      <c r="D692">
        <v>154</v>
      </c>
      <c r="E692" s="5">
        <v>42478.699791666666</v>
      </c>
      <c r="F692" t="s">
        <v>38</v>
      </c>
      <c r="G692" s="6">
        <v>0</v>
      </c>
    </row>
    <row r="693" spans="1:7" x14ac:dyDescent="0.2">
      <c r="A693" t="s">
        <v>1025</v>
      </c>
      <c r="B693" t="s">
        <v>1230</v>
      </c>
      <c r="C693" t="s">
        <v>38</v>
      </c>
      <c r="D693">
        <v>82</v>
      </c>
      <c r="E693" s="5">
        <v>42478.699791666666</v>
      </c>
      <c r="F693" t="s">
        <v>38</v>
      </c>
      <c r="G693" s="6">
        <v>0</v>
      </c>
    </row>
    <row r="694" spans="1:7" x14ac:dyDescent="0.2">
      <c r="A694" t="s">
        <v>1025</v>
      </c>
      <c r="B694" t="s">
        <v>1231</v>
      </c>
      <c r="C694" t="s">
        <v>38</v>
      </c>
      <c r="D694">
        <v>108665</v>
      </c>
      <c r="E694" s="5">
        <v>42478.699791666666</v>
      </c>
      <c r="F694" t="s">
        <v>38</v>
      </c>
      <c r="G694" s="6">
        <v>0</v>
      </c>
    </row>
    <row r="695" spans="1:7" x14ac:dyDescent="0.2">
      <c r="A695" t="s">
        <v>1025</v>
      </c>
      <c r="B695" t="s">
        <v>1232</v>
      </c>
      <c r="C695" t="s">
        <v>38</v>
      </c>
      <c r="D695">
        <v>55</v>
      </c>
      <c r="E695" s="5">
        <v>42478.699791666666</v>
      </c>
      <c r="F695" t="s">
        <v>38</v>
      </c>
      <c r="G695" s="6">
        <v>0</v>
      </c>
    </row>
    <row r="696" spans="1:7" x14ac:dyDescent="0.2">
      <c r="A696" t="s">
        <v>1025</v>
      </c>
      <c r="B696" t="s">
        <v>1233</v>
      </c>
      <c r="C696" t="s">
        <v>38</v>
      </c>
      <c r="D696">
        <v>102</v>
      </c>
      <c r="E696" s="5">
        <v>42478.699791666666</v>
      </c>
      <c r="F696" t="s">
        <v>38</v>
      </c>
      <c r="G696" s="6">
        <v>0</v>
      </c>
    </row>
    <row r="697" spans="1:7" x14ac:dyDescent="0.2">
      <c r="A697" t="s">
        <v>1025</v>
      </c>
      <c r="B697" t="s">
        <v>1234</v>
      </c>
      <c r="C697" t="s">
        <v>38</v>
      </c>
      <c r="D697">
        <v>63</v>
      </c>
      <c r="E697" s="5">
        <v>42598.892627314817</v>
      </c>
      <c r="F697" t="s">
        <v>38</v>
      </c>
      <c r="G697" s="6">
        <v>0</v>
      </c>
    </row>
    <row r="698" spans="1:7" x14ac:dyDescent="0.2">
      <c r="A698" t="s">
        <v>1025</v>
      </c>
      <c r="B698" t="s">
        <v>1235</v>
      </c>
      <c r="C698" t="s">
        <v>38</v>
      </c>
      <c r="D698">
        <v>27</v>
      </c>
      <c r="E698" s="5">
        <v>42478.699791666666</v>
      </c>
      <c r="F698" t="s">
        <v>38</v>
      </c>
      <c r="G698" s="6">
        <v>0</v>
      </c>
    </row>
    <row r="699" spans="1:7" x14ac:dyDescent="0.2">
      <c r="A699" t="s">
        <v>1025</v>
      </c>
      <c r="B699" t="s">
        <v>1236</v>
      </c>
      <c r="C699" t="s">
        <v>38</v>
      </c>
      <c r="D699">
        <v>52</v>
      </c>
      <c r="E699" s="5">
        <v>42478.699791666666</v>
      </c>
      <c r="F699" t="s">
        <v>38</v>
      </c>
      <c r="G699" s="6">
        <v>0</v>
      </c>
    </row>
    <row r="700" spans="1:7" x14ac:dyDescent="0.2">
      <c r="A700" t="s">
        <v>1025</v>
      </c>
      <c r="B700" t="s">
        <v>1237</v>
      </c>
      <c r="C700" t="s">
        <v>38</v>
      </c>
      <c r="D700">
        <v>11</v>
      </c>
      <c r="E700" s="5">
        <v>42478.699791666666</v>
      </c>
      <c r="F700" t="s">
        <v>38</v>
      </c>
      <c r="G700" s="6">
        <v>0</v>
      </c>
    </row>
    <row r="701" spans="1:7" x14ac:dyDescent="0.2">
      <c r="A701" t="s">
        <v>1025</v>
      </c>
      <c r="B701" t="s">
        <v>1238</v>
      </c>
      <c r="C701" t="s">
        <v>1239</v>
      </c>
      <c r="D701">
        <v>9193706</v>
      </c>
      <c r="E701" s="5">
        <v>42478.699791666666</v>
      </c>
      <c r="F701" t="s">
        <v>1239</v>
      </c>
      <c r="G701" s="6">
        <v>14344</v>
      </c>
    </row>
    <row r="702" spans="1:7" x14ac:dyDescent="0.2">
      <c r="A702" t="s">
        <v>1025</v>
      </c>
      <c r="B702" t="s">
        <v>1240</v>
      </c>
      <c r="C702" t="s">
        <v>38</v>
      </c>
      <c r="D702">
        <v>16470</v>
      </c>
      <c r="E702" s="5">
        <v>42478.699791666666</v>
      </c>
      <c r="F702" t="s">
        <v>38</v>
      </c>
      <c r="G702" s="6">
        <v>0</v>
      </c>
    </row>
    <row r="703" spans="1:7" x14ac:dyDescent="0.2">
      <c r="A703" t="s">
        <v>1025</v>
      </c>
      <c r="B703" t="s">
        <v>1241</v>
      </c>
      <c r="C703" t="s">
        <v>38</v>
      </c>
      <c r="D703">
        <v>151</v>
      </c>
      <c r="E703" s="5">
        <v>42478.699791666666</v>
      </c>
      <c r="F703" t="s">
        <v>38</v>
      </c>
      <c r="G703" s="6">
        <v>0</v>
      </c>
    </row>
    <row r="704" spans="1:7" x14ac:dyDescent="0.2">
      <c r="A704" t="s">
        <v>1025</v>
      </c>
      <c r="B704" t="s">
        <v>1242</v>
      </c>
      <c r="C704" t="s">
        <v>1243</v>
      </c>
      <c r="D704">
        <v>2590804</v>
      </c>
      <c r="E704" s="5">
        <v>42478.699791666666</v>
      </c>
      <c r="F704" t="s">
        <v>1243</v>
      </c>
      <c r="G704" s="6">
        <v>2339</v>
      </c>
    </row>
    <row r="705" spans="1:7" x14ac:dyDescent="0.2">
      <c r="A705" t="s">
        <v>1025</v>
      </c>
      <c r="B705" t="s">
        <v>1244</v>
      </c>
      <c r="C705" t="s">
        <v>1245</v>
      </c>
      <c r="D705">
        <v>7145657</v>
      </c>
      <c r="E705" s="5">
        <v>42478.699791666666</v>
      </c>
      <c r="F705" t="s">
        <v>1245</v>
      </c>
      <c r="G705" s="6">
        <v>7770</v>
      </c>
    </row>
    <row r="706" spans="1:7" x14ac:dyDescent="0.2">
      <c r="A706" t="s">
        <v>1025</v>
      </c>
      <c r="B706" t="s">
        <v>1246</v>
      </c>
      <c r="C706" t="s">
        <v>38</v>
      </c>
      <c r="D706">
        <v>442</v>
      </c>
      <c r="E706" s="5">
        <v>42478.699791666666</v>
      </c>
      <c r="F706" t="s">
        <v>38</v>
      </c>
      <c r="G706" s="6">
        <v>0</v>
      </c>
    </row>
    <row r="707" spans="1:7" x14ac:dyDescent="0.2">
      <c r="A707" t="s">
        <v>1025</v>
      </c>
      <c r="B707" t="s">
        <v>1247</v>
      </c>
      <c r="C707" t="s">
        <v>1248</v>
      </c>
      <c r="D707">
        <v>38169753</v>
      </c>
      <c r="E707" s="5">
        <v>42486.725127314814</v>
      </c>
      <c r="F707" t="s">
        <v>1248</v>
      </c>
      <c r="G707" s="6">
        <v>129302</v>
      </c>
    </row>
    <row r="708" spans="1:7" x14ac:dyDescent="0.2">
      <c r="A708" t="s">
        <v>1025</v>
      </c>
      <c r="B708" t="s">
        <v>1249</v>
      </c>
      <c r="C708" t="s">
        <v>1250</v>
      </c>
      <c r="D708">
        <v>11809175</v>
      </c>
      <c r="E708" s="5">
        <v>42478.699791666666</v>
      </c>
      <c r="F708" t="s">
        <v>1250</v>
      </c>
      <c r="G708" s="6">
        <v>0</v>
      </c>
    </row>
    <row r="709" spans="1:7" x14ac:dyDescent="0.2">
      <c r="A709" t="s">
        <v>1025</v>
      </c>
      <c r="B709" t="s">
        <v>1251</v>
      </c>
      <c r="C709" t="s">
        <v>38</v>
      </c>
      <c r="D709">
        <v>3003962</v>
      </c>
      <c r="E709" s="5">
        <v>42478.699791666666</v>
      </c>
      <c r="F709" t="s">
        <v>38</v>
      </c>
      <c r="G709" s="6">
        <v>2339</v>
      </c>
    </row>
    <row r="710" spans="1:7" x14ac:dyDescent="0.2">
      <c r="A710" t="s">
        <v>1025</v>
      </c>
      <c r="B710" t="s">
        <v>1252</v>
      </c>
      <c r="C710" t="s">
        <v>1253</v>
      </c>
      <c r="D710">
        <v>798799</v>
      </c>
      <c r="E710" s="5">
        <v>42478.699791666666</v>
      </c>
      <c r="F710" t="s">
        <v>1253</v>
      </c>
      <c r="G710" s="6">
        <v>331</v>
      </c>
    </row>
    <row r="711" spans="1:7" x14ac:dyDescent="0.2">
      <c r="A711" t="s">
        <v>1025</v>
      </c>
      <c r="B711" t="s">
        <v>1254</v>
      </c>
      <c r="C711" t="s">
        <v>1255</v>
      </c>
      <c r="D711">
        <v>1071227</v>
      </c>
      <c r="E711" s="5">
        <v>42478.699791666666</v>
      </c>
      <c r="F711" t="s">
        <v>1255</v>
      </c>
      <c r="G711" s="6">
        <v>651</v>
      </c>
    </row>
    <row r="712" spans="1:7" x14ac:dyDescent="0.2">
      <c r="A712" t="s">
        <v>1025</v>
      </c>
      <c r="B712" t="s">
        <v>737</v>
      </c>
      <c r="C712" t="s">
        <v>1256</v>
      </c>
      <c r="D712">
        <v>34167624</v>
      </c>
      <c r="E712" s="5">
        <v>42478.699791666666</v>
      </c>
      <c r="F712" t="s">
        <v>1256</v>
      </c>
      <c r="G712" s="6">
        <v>385222</v>
      </c>
    </row>
    <row r="713" spans="1:7" x14ac:dyDescent="0.2">
      <c r="A713" t="s">
        <v>1025</v>
      </c>
      <c r="B713" t="s">
        <v>1257</v>
      </c>
      <c r="C713" t="s">
        <v>38</v>
      </c>
      <c r="D713">
        <v>3622</v>
      </c>
      <c r="E713" s="5">
        <v>42478.699791666666</v>
      </c>
      <c r="F713" t="s">
        <v>38</v>
      </c>
      <c r="G713" s="6">
        <v>0</v>
      </c>
    </row>
    <row r="714" spans="1:7" x14ac:dyDescent="0.2">
      <c r="A714" t="s">
        <v>1025</v>
      </c>
      <c r="B714" t="s">
        <v>1258</v>
      </c>
      <c r="C714" t="s">
        <v>38</v>
      </c>
      <c r="D714">
        <v>2413</v>
      </c>
      <c r="E714" s="5">
        <v>42478.699791666666</v>
      </c>
      <c r="F714" t="s">
        <v>38</v>
      </c>
      <c r="G714" s="6">
        <v>0</v>
      </c>
    </row>
    <row r="715" spans="1:7" x14ac:dyDescent="0.2">
      <c r="A715" t="s">
        <v>1025</v>
      </c>
      <c r="B715" t="s">
        <v>1259</v>
      </c>
      <c r="C715" t="s">
        <v>1260</v>
      </c>
      <c r="D715">
        <v>2805200</v>
      </c>
      <c r="E715" s="5">
        <v>42478.699791666666</v>
      </c>
      <c r="F715" t="s">
        <v>1260</v>
      </c>
      <c r="G715" s="6">
        <v>2339</v>
      </c>
    </row>
    <row r="716" spans="1:7" x14ac:dyDescent="0.2">
      <c r="A716" t="s">
        <v>1025</v>
      </c>
      <c r="B716" t="s">
        <v>1261</v>
      </c>
      <c r="C716" t="s">
        <v>38</v>
      </c>
      <c r="D716">
        <v>1950</v>
      </c>
      <c r="E716" s="5">
        <v>42478.699791666666</v>
      </c>
      <c r="F716" t="s">
        <v>38</v>
      </c>
      <c r="G716" s="6">
        <v>0</v>
      </c>
    </row>
    <row r="717" spans="1:7" x14ac:dyDescent="0.2">
      <c r="A717" t="s">
        <v>1025</v>
      </c>
      <c r="B717" t="s">
        <v>1262</v>
      </c>
      <c r="C717" t="s">
        <v>38</v>
      </c>
      <c r="D717">
        <v>171228</v>
      </c>
      <c r="E717" s="5">
        <v>42478.699791666666</v>
      </c>
      <c r="F717" t="s">
        <v>38</v>
      </c>
      <c r="G717" s="6">
        <v>88</v>
      </c>
    </row>
    <row r="718" spans="1:7" x14ac:dyDescent="0.2">
      <c r="A718" t="s">
        <v>1025</v>
      </c>
      <c r="B718" t="s">
        <v>1263</v>
      </c>
      <c r="C718" t="s">
        <v>1264</v>
      </c>
      <c r="D718">
        <v>29340127</v>
      </c>
      <c r="E718" s="5">
        <v>42478.699791666666</v>
      </c>
      <c r="F718" t="s">
        <v>1264</v>
      </c>
      <c r="G718" s="6">
        <v>55544</v>
      </c>
    </row>
    <row r="719" spans="1:7" x14ac:dyDescent="0.2">
      <c r="A719" t="s">
        <v>1025</v>
      </c>
      <c r="B719" t="s">
        <v>1265</v>
      </c>
      <c r="C719" t="s">
        <v>38</v>
      </c>
      <c r="D719">
        <v>230008</v>
      </c>
      <c r="E719" s="5">
        <v>42478.699791666666</v>
      </c>
      <c r="F719" t="s">
        <v>38</v>
      </c>
      <c r="G719" s="6">
        <v>147</v>
      </c>
    </row>
    <row r="720" spans="1:7" x14ac:dyDescent="0.2">
      <c r="A720" t="s">
        <v>1025</v>
      </c>
      <c r="B720" t="s">
        <v>1266</v>
      </c>
      <c r="C720" t="s">
        <v>1267</v>
      </c>
      <c r="D720">
        <v>1451036</v>
      </c>
      <c r="E720" s="5">
        <v>42478.699791666666</v>
      </c>
      <c r="F720" t="s">
        <v>1267</v>
      </c>
      <c r="G720" s="6">
        <v>1273</v>
      </c>
    </row>
    <row r="721" spans="1:7" x14ac:dyDescent="0.2">
      <c r="A721" t="s">
        <v>1025</v>
      </c>
      <c r="B721" t="s">
        <v>1268</v>
      </c>
      <c r="C721" t="s">
        <v>38</v>
      </c>
      <c r="D721">
        <v>4731</v>
      </c>
      <c r="E721" s="5">
        <v>42478.699791666666</v>
      </c>
      <c r="F721" t="s">
        <v>38</v>
      </c>
      <c r="G721" s="6">
        <v>0</v>
      </c>
    </row>
    <row r="722" spans="1:7" x14ac:dyDescent="0.2">
      <c r="A722" t="s">
        <v>1025</v>
      </c>
      <c r="B722" t="s">
        <v>1269</v>
      </c>
      <c r="C722" t="s">
        <v>1270</v>
      </c>
      <c r="D722">
        <v>1471573</v>
      </c>
      <c r="E722" s="5">
        <v>42478.699791666666</v>
      </c>
      <c r="F722" t="s">
        <v>1270</v>
      </c>
      <c r="G722" s="6">
        <v>1478</v>
      </c>
    </row>
    <row r="723" spans="1:7" x14ac:dyDescent="0.2">
      <c r="A723" t="s">
        <v>1025</v>
      </c>
      <c r="B723" t="s">
        <v>1271</v>
      </c>
      <c r="C723" t="s">
        <v>1272</v>
      </c>
      <c r="D723">
        <v>62911058</v>
      </c>
      <c r="E723" s="5">
        <v>42496.688240740739</v>
      </c>
      <c r="F723" t="s">
        <v>1272</v>
      </c>
      <c r="G723" s="6">
        <v>403292</v>
      </c>
    </row>
    <row r="724" spans="1:7" x14ac:dyDescent="0.2">
      <c r="A724" t="s">
        <v>1025</v>
      </c>
      <c r="B724" t="s">
        <v>1273</v>
      </c>
      <c r="C724" t="s">
        <v>1274</v>
      </c>
      <c r="D724">
        <v>11549356</v>
      </c>
      <c r="E724" s="5">
        <v>42478.699791666666</v>
      </c>
      <c r="F724" t="s">
        <v>1274</v>
      </c>
      <c r="G724" s="6">
        <v>34623</v>
      </c>
    </row>
    <row r="725" spans="1:7" x14ac:dyDescent="0.2">
      <c r="A725" t="s">
        <v>1025</v>
      </c>
      <c r="B725" t="s">
        <v>1275</v>
      </c>
      <c r="C725" t="s">
        <v>1274</v>
      </c>
      <c r="D725">
        <v>125102</v>
      </c>
      <c r="E725" s="5">
        <v>42478.699791666666</v>
      </c>
      <c r="F725" t="s">
        <v>1274</v>
      </c>
      <c r="G725" s="6">
        <v>0</v>
      </c>
    </row>
    <row r="726" spans="1:7" x14ac:dyDescent="0.2">
      <c r="A726" t="s">
        <v>1025</v>
      </c>
      <c r="B726" t="s">
        <v>1276</v>
      </c>
      <c r="C726" t="s">
        <v>1277</v>
      </c>
      <c r="D726">
        <v>857286</v>
      </c>
      <c r="E726" s="5">
        <v>42478.699791666666</v>
      </c>
      <c r="F726" t="s">
        <v>1277</v>
      </c>
      <c r="G726" s="6">
        <v>-263557</v>
      </c>
    </row>
    <row r="727" spans="1:7" x14ac:dyDescent="0.2">
      <c r="A727" t="s">
        <v>1025</v>
      </c>
      <c r="B727" t="s">
        <v>1278</v>
      </c>
      <c r="C727" t="s">
        <v>38</v>
      </c>
      <c r="D727">
        <v>49386</v>
      </c>
      <c r="E727" s="5">
        <v>42478.699791666666</v>
      </c>
      <c r="F727" t="s">
        <v>38</v>
      </c>
      <c r="G727" s="6">
        <v>0</v>
      </c>
    </row>
    <row r="728" spans="1:7" x14ac:dyDescent="0.2">
      <c r="A728" t="s">
        <v>1025</v>
      </c>
      <c r="B728" t="s">
        <v>1279</v>
      </c>
      <c r="C728" t="s">
        <v>38</v>
      </c>
      <c r="D728">
        <v>0</v>
      </c>
      <c r="E728" s="5">
        <v>42478.699791666666</v>
      </c>
      <c r="F728" t="s">
        <v>38</v>
      </c>
      <c r="G728" s="6">
        <v>0</v>
      </c>
    </row>
    <row r="729" spans="1:7" x14ac:dyDescent="0.2">
      <c r="A729" t="s">
        <v>1025</v>
      </c>
      <c r="B729" t="s">
        <v>1280</v>
      </c>
      <c r="C729" t="s">
        <v>1281</v>
      </c>
      <c r="D729">
        <v>0</v>
      </c>
      <c r="E729" s="5">
        <v>42478.699791666666</v>
      </c>
      <c r="F729" t="s">
        <v>1281</v>
      </c>
      <c r="G729" s="6">
        <v>0</v>
      </c>
    </row>
    <row r="730" spans="1:7" x14ac:dyDescent="0.2">
      <c r="A730" t="s">
        <v>1025</v>
      </c>
      <c r="B730" t="s">
        <v>1282</v>
      </c>
      <c r="C730" t="s">
        <v>38</v>
      </c>
      <c r="D730">
        <v>11228</v>
      </c>
      <c r="E730" s="5">
        <v>42527.623252314814</v>
      </c>
      <c r="F730" t="s">
        <v>38</v>
      </c>
      <c r="G730" s="6">
        <v>0</v>
      </c>
    </row>
    <row r="731" spans="1:7" x14ac:dyDescent="0.2">
      <c r="A731" t="s">
        <v>1025</v>
      </c>
      <c r="B731" t="s">
        <v>1283</v>
      </c>
      <c r="C731" t="s">
        <v>1284</v>
      </c>
      <c r="D731">
        <v>33507282</v>
      </c>
      <c r="E731" s="5">
        <v>42478.699791666666</v>
      </c>
      <c r="F731" t="s">
        <v>1284</v>
      </c>
      <c r="G731" s="6">
        <v>2428892</v>
      </c>
    </row>
    <row r="732" spans="1:7" x14ac:dyDescent="0.2">
      <c r="A732" t="s">
        <v>1025</v>
      </c>
      <c r="B732" t="s">
        <v>1285</v>
      </c>
      <c r="C732" t="s">
        <v>1284</v>
      </c>
      <c r="D732">
        <v>72885</v>
      </c>
      <c r="E732" s="5">
        <v>42478.699791666666</v>
      </c>
      <c r="F732" t="s">
        <v>1284</v>
      </c>
      <c r="G732" s="6">
        <v>0</v>
      </c>
    </row>
    <row r="733" spans="1:7" x14ac:dyDescent="0.2">
      <c r="A733" t="s">
        <v>1025</v>
      </c>
      <c r="B733" t="s">
        <v>1286</v>
      </c>
      <c r="C733" t="s">
        <v>38</v>
      </c>
      <c r="D733">
        <v>2160779</v>
      </c>
      <c r="E733" s="5">
        <v>42478.699791666666</v>
      </c>
      <c r="F733" t="s">
        <v>38</v>
      </c>
      <c r="G733" s="6">
        <v>0</v>
      </c>
    </row>
    <row r="734" spans="1:7" x14ac:dyDescent="0.2">
      <c r="A734" t="s">
        <v>1025</v>
      </c>
      <c r="B734" t="s">
        <v>1287</v>
      </c>
      <c r="C734" t="s">
        <v>38</v>
      </c>
      <c r="D734">
        <v>0</v>
      </c>
      <c r="E734" s="5">
        <v>42478.699791666666</v>
      </c>
      <c r="F734" t="s">
        <v>38</v>
      </c>
      <c r="G734" s="6">
        <v>0</v>
      </c>
    </row>
    <row r="735" spans="1:7" x14ac:dyDescent="0.2">
      <c r="A735" t="s">
        <v>1025</v>
      </c>
      <c r="B735" t="s">
        <v>1288</v>
      </c>
      <c r="C735" t="s">
        <v>1289</v>
      </c>
      <c r="D735">
        <v>50108988</v>
      </c>
      <c r="E735" s="5">
        <v>42478.699791666666</v>
      </c>
      <c r="F735" t="s">
        <v>1289</v>
      </c>
      <c r="G735" s="6">
        <v>600296</v>
      </c>
    </row>
    <row r="736" spans="1:7" x14ac:dyDescent="0.2">
      <c r="A736" t="s">
        <v>1025</v>
      </c>
      <c r="B736" t="s">
        <v>1290</v>
      </c>
      <c r="C736" t="s">
        <v>38</v>
      </c>
      <c r="D736">
        <v>3375</v>
      </c>
      <c r="E736" s="5">
        <v>42478.699791666666</v>
      </c>
      <c r="F736" t="s">
        <v>38</v>
      </c>
      <c r="G736" s="6">
        <v>0</v>
      </c>
    </row>
    <row r="737" spans="1:7" x14ac:dyDescent="0.2">
      <c r="A737" t="s">
        <v>1025</v>
      </c>
      <c r="B737" t="s">
        <v>1291</v>
      </c>
      <c r="C737" t="s">
        <v>1292</v>
      </c>
      <c r="D737">
        <v>95684</v>
      </c>
      <c r="E737" s="5">
        <v>42478.699791666666</v>
      </c>
      <c r="F737" t="s">
        <v>1292</v>
      </c>
      <c r="G737" s="6">
        <v>0</v>
      </c>
    </row>
    <row r="738" spans="1:7" x14ac:dyDescent="0.2">
      <c r="A738" t="s">
        <v>1025</v>
      </c>
      <c r="B738" t="s">
        <v>1293</v>
      </c>
      <c r="C738" t="s">
        <v>38</v>
      </c>
      <c r="D738">
        <v>8</v>
      </c>
      <c r="E738" s="5">
        <v>42478.699791666666</v>
      </c>
      <c r="F738" t="s">
        <v>38</v>
      </c>
      <c r="G738" s="6">
        <v>0</v>
      </c>
    </row>
    <row r="739" spans="1:7" x14ac:dyDescent="0.2">
      <c r="A739" t="s">
        <v>1025</v>
      </c>
      <c r="B739" t="s">
        <v>1294</v>
      </c>
      <c r="C739" t="s">
        <v>1295</v>
      </c>
      <c r="D739">
        <v>22904</v>
      </c>
      <c r="E739" s="5">
        <v>42478.699791666666</v>
      </c>
      <c r="F739" t="s">
        <v>1295</v>
      </c>
      <c r="G739" s="6">
        <v>533</v>
      </c>
    </row>
    <row r="740" spans="1:7" x14ac:dyDescent="0.2">
      <c r="A740" t="s">
        <v>1025</v>
      </c>
      <c r="B740" t="s">
        <v>1296</v>
      </c>
      <c r="C740" t="s">
        <v>38</v>
      </c>
      <c r="D740">
        <v>216648</v>
      </c>
      <c r="E740" s="5">
        <v>42478.699791666666</v>
      </c>
      <c r="F740" t="s">
        <v>38</v>
      </c>
      <c r="G740" s="6">
        <v>0</v>
      </c>
    </row>
    <row r="741" spans="1:7" x14ac:dyDescent="0.2">
      <c r="A741" t="s">
        <v>1025</v>
      </c>
      <c r="B741" t="s">
        <v>1297</v>
      </c>
      <c r="C741" t="s">
        <v>38</v>
      </c>
      <c r="D741">
        <v>286000</v>
      </c>
      <c r="E741" s="5">
        <v>42478.699791666666</v>
      </c>
      <c r="F741" t="s">
        <v>38</v>
      </c>
      <c r="G741" s="6">
        <v>11182</v>
      </c>
    </row>
    <row r="742" spans="1:7" x14ac:dyDescent="0.2">
      <c r="A742" t="s">
        <v>1025</v>
      </c>
      <c r="B742" t="s">
        <v>1298</v>
      </c>
      <c r="C742" t="s">
        <v>38</v>
      </c>
      <c r="D742">
        <v>0</v>
      </c>
      <c r="E742" s="5">
        <v>42478.699791666666</v>
      </c>
      <c r="F742" t="s">
        <v>38</v>
      </c>
      <c r="G742" s="6">
        <v>0</v>
      </c>
    </row>
    <row r="743" spans="1:7" x14ac:dyDescent="0.2">
      <c r="A743" t="s">
        <v>1025</v>
      </c>
      <c r="B743" t="s">
        <v>1299</v>
      </c>
      <c r="C743" t="s">
        <v>38</v>
      </c>
      <c r="D743">
        <v>208</v>
      </c>
      <c r="E743" s="5">
        <v>42478.699791666666</v>
      </c>
      <c r="F743" t="s">
        <v>38</v>
      </c>
      <c r="G743" s="6">
        <v>0</v>
      </c>
    </row>
    <row r="744" spans="1:7" x14ac:dyDescent="0.2">
      <c r="A744" t="s">
        <v>1025</v>
      </c>
      <c r="B744" t="s">
        <v>1300</v>
      </c>
      <c r="C744" t="s">
        <v>38</v>
      </c>
      <c r="D744">
        <v>660</v>
      </c>
      <c r="E744" s="5">
        <v>42478.699791666666</v>
      </c>
      <c r="F744" t="s">
        <v>38</v>
      </c>
      <c r="G744" s="6">
        <v>0</v>
      </c>
    </row>
    <row r="745" spans="1:7" x14ac:dyDescent="0.2">
      <c r="A745" t="s">
        <v>1025</v>
      </c>
      <c r="B745" t="s">
        <v>1301</v>
      </c>
      <c r="C745" t="s">
        <v>38</v>
      </c>
      <c r="D745">
        <v>218</v>
      </c>
      <c r="E745" s="5">
        <v>42478.699791666666</v>
      </c>
      <c r="F745" t="s">
        <v>38</v>
      </c>
      <c r="G745" s="6">
        <v>0</v>
      </c>
    </row>
    <row r="746" spans="1:7" x14ac:dyDescent="0.2">
      <c r="A746" t="s">
        <v>1025</v>
      </c>
      <c r="B746" t="s">
        <v>1302</v>
      </c>
      <c r="C746" t="s">
        <v>38</v>
      </c>
      <c r="D746">
        <v>1108</v>
      </c>
      <c r="E746" s="5">
        <v>42478.699791666666</v>
      </c>
      <c r="F746" t="s">
        <v>38</v>
      </c>
      <c r="G746" s="6">
        <v>0</v>
      </c>
    </row>
    <row r="747" spans="1:7" x14ac:dyDescent="0.2">
      <c r="A747" t="s">
        <v>1025</v>
      </c>
      <c r="B747" t="s">
        <v>1303</v>
      </c>
      <c r="C747" t="s">
        <v>38</v>
      </c>
      <c r="D747">
        <v>495</v>
      </c>
      <c r="E747" s="5">
        <v>42478.699791666666</v>
      </c>
      <c r="F747" t="s">
        <v>38</v>
      </c>
      <c r="G747" s="6">
        <v>0</v>
      </c>
    </row>
    <row r="748" spans="1:7" x14ac:dyDescent="0.2">
      <c r="A748" t="s">
        <v>1025</v>
      </c>
      <c r="B748" t="s">
        <v>1304</v>
      </c>
      <c r="C748" t="s">
        <v>38</v>
      </c>
      <c r="D748">
        <v>972</v>
      </c>
      <c r="E748" s="5">
        <v>42478.699791666666</v>
      </c>
      <c r="F748" t="s">
        <v>38</v>
      </c>
      <c r="G748" s="6">
        <v>0</v>
      </c>
    </row>
    <row r="749" spans="1:7" x14ac:dyDescent="0.2">
      <c r="A749" t="s">
        <v>1025</v>
      </c>
      <c r="B749" t="s">
        <v>1305</v>
      </c>
      <c r="C749" t="s">
        <v>38</v>
      </c>
      <c r="D749">
        <v>2532</v>
      </c>
      <c r="E749" s="5">
        <v>42592.959328703706</v>
      </c>
      <c r="F749" t="s">
        <v>38</v>
      </c>
      <c r="G749" s="6">
        <v>71</v>
      </c>
    </row>
    <row r="750" spans="1:7" x14ac:dyDescent="0.2">
      <c r="A750" t="s">
        <v>1025</v>
      </c>
      <c r="B750" t="s">
        <v>1306</v>
      </c>
      <c r="C750" t="s">
        <v>38</v>
      </c>
      <c r="D750">
        <v>10048859</v>
      </c>
      <c r="E750" s="5">
        <v>42592.959328703706</v>
      </c>
      <c r="F750" t="s">
        <v>38</v>
      </c>
      <c r="G750" s="6">
        <v>188062</v>
      </c>
    </row>
    <row r="751" spans="1:7" x14ac:dyDescent="0.2">
      <c r="A751" t="s">
        <v>1025</v>
      </c>
      <c r="B751" t="s">
        <v>1307</v>
      </c>
      <c r="C751" t="s">
        <v>1308</v>
      </c>
      <c r="D751">
        <v>6</v>
      </c>
      <c r="E751" s="5">
        <v>42653.49496527778</v>
      </c>
      <c r="F751" t="s">
        <v>1308</v>
      </c>
      <c r="G751" s="6">
        <v>0</v>
      </c>
    </row>
    <row r="752" spans="1:7" x14ac:dyDescent="0.2">
      <c r="A752" t="s">
        <v>1025</v>
      </c>
      <c r="B752" t="s">
        <v>1309</v>
      </c>
      <c r="C752" t="s">
        <v>1310</v>
      </c>
      <c r="D752">
        <v>1881625</v>
      </c>
      <c r="E752" s="5">
        <v>42478.699791666666</v>
      </c>
      <c r="F752" t="s">
        <v>1310</v>
      </c>
      <c r="G752" s="6">
        <v>1959</v>
      </c>
    </row>
    <row r="753" spans="1:7" x14ac:dyDescent="0.2">
      <c r="A753" t="s">
        <v>1025</v>
      </c>
      <c r="B753" t="s">
        <v>1311</v>
      </c>
      <c r="C753" t="s">
        <v>1312</v>
      </c>
      <c r="D753">
        <v>5013095</v>
      </c>
      <c r="E753" s="5">
        <v>42478.699791666666</v>
      </c>
      <c r="F753" t="s">
        <v>1312</v>
      </c>
      <c r="G753" s="6">
        <v>10613</v>
      </c>
    </row>
    <row r="754" spans="1:7" x14ac:dyDescent="0.2">
      <c r="A754" t="s">
        <v>1025</v>
      </c>
      <c r="B754" t="s">
        <v>1313</v>
      </c>
      <c r="C754" t="s">
        <v>38</v>
      </c>
      <c r="D754">
        <v>3202975</v>
      </c>
      <c r="E754" s="5">
        <v>42478.699791666666</v>
      </c>
      <c r="F754" t="s">
        <v>38</v>
      </c>
      <c r="G754" s="6">
        <v>4759</v>
      </c>
    </row>
    <row r="755" spans="1:7" x14ac:dyDescent="0.2">
      <c r="A755" t="s">
        <v>1025</v>
      </c>
      <c r="B755" t="s">
        <v>1314</v>
      </c>
      <c r="C755" t="s">
        <v>38</v>
      </c>
      <c r="D755">
        <v>1243626</v>
      </c>
      <c r="E755" s="5">
        <v>42478.699791666666</v>
      </c>
      <c r="F755" t="s">
        <v>38</v>
      </c>
      <c r="G755" s="6">
        <v>4540</v>
      </c>
    </row>
    <row r="756" spans="1:7" x14ac:dyDescent="0.2">
      <c r="A756" t="s">
        <v>1025</v>
      </c>
      <c r="B756" t="s">
        <v>1315</v>
      </c>
      <c r="C756" t="s">
        <v>38</v>
      </c>
      <c r="D756">
        <v>1358809</v>
      </c>
      <c r="E756" s="5">
        <v>42549.45925925926</v>
      </c>
      <c r="F756" t="s">
        <v>38</v>
      </c>
      <c r="G756" s="6">
        <v>15074</v>
      </c>
    </row>
    <row r="757" spans="1:7" x14ac:dyDescent="0.2">
      <c r="A757" t="s">
        <v>1025</v>
      </c>
      <c r="B757" t="s">
        <v>1316</v>
      </c>
      <c r="C757" t="s">
        <v>1253</v>
      </c>
      <c r="D757">
        <v>0</v>
      </c>
      <c r="E757" s="5">
        <v>42478.699791666666</v>
      </c>
      <c r="F757" t="s">
        <v>1253</v>
      </c>
      <c r="G757" s="6">
        <v>0</v>
      </c>
    </row>
  </sheetData>
  <autoFilter ref="A1:G757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36"/>
  <sheetViews>
    <sheetView workbookViewId="0">
      <selection activeCell="C11" sqref="C11"/>
    </sheetView>
  </sheetViews>
  <sheetFormatPr defaultRowHeight="14.25" x14ac:dyDescent="0.2"/>
  <cols>
    <col min="1" max="1" width="20.25" customWidth="1"/>
    <col min="2" max="2" width="20.75" customWidth="1"/>
    <col min="3" max="3" width="22.5" bestFit="1" customWidth="1"/>
    <col min="4" max="4" width="13.5" customWidth="1"/>
    <col min="5" max="5" width="18.875" bestFit="1" customWidth="1"/>
    <col min="6" max="6" width="23.625" customWidth="1"/>
    <col min="7" max="7" width="17.25" customWidth="1"/>
    <col min="8" max="8" width="15" bestFit="1" customWidth="1"/>
    <col min="9" max="9" width="26.125" bestFit="1" customWidth="1"/>
    <col min="10" max="10" width="19.875" bestFit="1" customWidth="1"/>
    <col min="11" max="11" width="27.25" bestFit="1" customWidth="1"/>
    <col min="12" max="12" width="28.125" bestFit="1" customWidth="1"/>
  </cols>
  <sheetData>
    <row r="4" spans="1:13" x14ac:dyDescent="0.2">
      <c r="A4" t="s">
        <v>1387</v>
      </c>
      <c r="B4" t="s">
        <v>1388</v>
      </c>
      <c r="C4" t="s">
        <v>1390</v>
      </c>
      <c r="D4" t="s">
        <v>1391</v>
      </c>
      <c r="E4" t="s">
        <v>1398</v>
      </c>
      <c r="F4" t="s">
        <v>1392</v>
      </c>
      <c r="G4" t="s">
        <v>1381</v>
      </c>
      <c r="H4" t="s">
        <v>1393</v>
      </c>
      <c r="I4" t="s">
        <v>1394</v>
      </c>
      <c r="J4" t="s">
        <v>1346</v>
      </c>
      <c r="K4" t="s">
        <v>1401</v>
      </c>
      <c r="L4" t="s">
        <v>1400</v>
      </c>
      <c r="M4" t="s">
        <v>1386</v>
      </c>
    </row>
    <row r="5" spans="1:13" x14ac:dyDescent="0.2">
      <c r="A5" t="s">
        <v>83</v>
      </c>
      <c r="B5" t="s">
        <v>23</v>
      </c>
      <c r="C5" t="s">
        <v>540</v>
      </c>
      <c r="D5" t="s">
        <v>705</v>
      </c>
      <c r="E5" t="s">
        <v>226</v>
      </c>
      <c r="F5" t="s">
        <v>359</v>
      </c>
      <c r="G5" t="s">
        <v>261</v>
      </c>
      <c r="H5" t="s">
        <v>418</v>
      </c>
      <c r="I5" t="s">
        <v>1395</v>
      </c>
      <c r="J5" t="s">
        <v>885</v>
      </c>
      <c r="K5" t="s">
        <v>216</v>
      </c>
      <c r="L5" t="s">
        <v>121</v>
      </c>
      <c r="M5" t="s">
        <v>180</v>
      </c>
    </row>
    <row r="6" spans="1:13" x14ac:dyDescent="0.2">
      <c r="A6" t="s">
        <v>10</v>
      </c>
      <c r="B6" t="s">
        <v>25</v>
      </c>
      <c r="C6" t="s">
        <v>716</v>
      </c>
      <c r="D6" t="s">
        <v>792</v>
      </c>
      <c r="E6" t="s">
        <v>487</v>
      </c>
      <c r="F6" t="s">
        <v>370</v>
      </c>
      <c r="G6" t="s">
        <v>376</v>
      </c>
      <c r="H6" t="s">
        <v>448</v>
      </c>
      <c r="I6" t="s">
        <v>459</v>
      </c>
      <c r="J6" t="s">
        <v>887</v>
      </c>
      <c r="K6" t="s">
        <v>346</v>
      </c>
      <c r="L6" t="s">
        <v>123</v>
      </c>
      <c r="M6" t="s">
        <v>323</v>
      </c>
    </row>
    <row r="7" spans="1:13" x14ac:dyDescent="0.2">
      <c r="A7" t="s">
        <v>3</v>
      </c>
      <c r="B7" t="s">
        <v>710</v>
      </c>
      <c r="C7" t="s">
        <v>718</v>
      </c>
      <c r="E7" t="s">
        <v>490</v>
      </c>
      <c r="F7" t="s">
        <v>391</v>
      </c>
      <c r="G7" t="s">
        <v>866</v>
      </c>
      <c r="H7" t="s">
        <v>857</v>
      </c>
      <c r="I7" t="s">
        <v>249</v>
      </c>
      <c r="K7" t="s">
        <v>691</v>
      </c>
      <c r="L7" t="s">
        <v>125</v>
      </c>
      <c r="M7" t="s">
        <v>342</v>
      </c>
    </row>
    <row r="8" spans="1:13" x14ac:dyDescent="0.2">
      <c r="A8" t="s">
        <v>679</v>
      </c>
      <c r="B8" t="s">
        <v>837</v>
      </c>
      <c r="C8" t="s">
        <v>532</v>
      </c>
      <c r="E8" t="s">
        <v>534</v>
      </c>
      <c r="F8" t="s">
        <v>434</v>
      </c>
      <c r="G8" t="s">
        <v>455</v>
      </c>
      <c r="H8" t="s">
        <v>425</v>
      </c>
      <c r="I8" t="s">
        <v>364</v>
      </c>
      <c r="K8" t="s">
        <v>703</v>
      </c>
      <c r="L8" t="s">
        <v>127</v>
      </c>
      <c r="M8" t="s">
        <v>606</v>
      </c>
    </row>
    <row r="9" spans="1:13" x14ac:dyDescent="0.2">
      <c r="B9" t="s">
        <v>788</v>
      </c>
      <c r="C9" t="s">
        <v>529</v>
      </c>
      <c r="E9" t="s">
        <v>604</v>
      </c>
      <c r="F9" t="s">
        <v>439</v>
      </c>
      <c r="G9" t="s">
        <v>379</v>
      </c>
      <c r="H9" t="s">
        <v>428</v>
      </c>
      <c r="K9" t="s">
        <v>737</v>
      </c>
      <c r="L9" t="s">
        <v>129</v>
      </c>
      <c r="M9" t="s">
        <v>643</v>
      </c>
    </row>
    <row r="10" spans="1:13" x14ac:dyDescent="0.2">
      <c r="B10" t="s">
        <v>835</v>
      </c>
      <c r="C10" t="s">
        <v>204</v>
      </c>
      <c r="E10" t="s">
        <v>615</v>
      </c>
      <c r="F10" t="s">
        <v>474</v>
      </c>
      <c r="G10" t="s">
        <v>493</v>
      </c>
      <c r="H10" t="s">
        <v>430</v>
      </c>
      <c r="K10" t="s">
        <v>773</v>
      </c>
      <c r="L10" t="s">
        <v>135</v>
      </c>
      <c r="M10" t="s">
        <v>221</v>
      </c>
    </row>
    <row r="11" spans="1:13" x14ac:dyDescent="0.2">
      <c r="B11" t="s">
        <v>850</v>
      </c>
      <c r="C11" t="s">
        <v>256</v>
      </c>
      <c r="E11" t="s">
        <v>892</v>
      </c>
      <c r="F11" t="s">
        <v>475</v>
      </c>
      <c r="G11" t="s">
        <v>371</v>
      </c>
      <c r="H11" t="s">
        <v>445</v>
      </c>
      <c r="K11" t="s">
        <v>753</v>
      </c>
      <c r="L11" t="s">
        <v>87</v>
      </c>
      <c r="M11" t="s">
        <v>145</v>
      </c>
    </row>
    <row r="12" spans="1:13" x14ac:dyDescent="0.2">
      <c r="B12" t="s">
        <v>527</v>
      </c>
      <c r="C12" t="s">
        <v>522</v>
      </c>
      <c r="E12" t="s">
        <v>895</v>
      </c>
      <c r="F12" t="s">
        <v>477</v>
      </c>
      <c r="K12" t="s">
        <v>758</v>
      </c>
      <c r="L12" t="s">
        <v>89</v>
      </c>
    </row>
    <row r="13" spans="1:13" x14ac:dyDescent="0.2">
      <c r="B13" t="s">
        <v>727</v>
      </c>
      <c r="C13" t="s">
        <v>613</v>
      </c>
      <c r="E13" t="s">
        <v>906</v>
      </c>
      <c r="F13" t="s">
        <v>479</v>
      </c>
      <c r="L13" t="s">
        <v>91</v>
      </c>
    </row>
    <row r="14" spans="1:13" x14ac:dyDescent="0.2">
      <c r="B14" t="s">
        <v>58</v>
      </c>
      <c r="C14" t="s">
        <v>776</v>
      </c>
      <c r="E14" t="s">
        <v>907</v>
      </c>
      <c r="F14" t="s">
        <v>481</v>
      </c>
    </row>
    <row r="15" spans="1:13" x14ac:dyDescent="0.2">
      <c r="C15" t="s">
        <v>739</v>
      </c>
    </row>
    <row r="16" spans="1:13" x14ac:dyDescent="0.2">
      <c r="C16" t="s">
        <v>741</v>
      </c>
    </row>
    <row r="17" spans="3:9" x14ac:dyDescent="0.2">
      <c r="C17" t="s">
        <v>414</v>
      </c>
    </row>
    <row r="18" spans="3:9" x14ac:dyDescent="0.2">
      <c r="C18" t="s">
        <v>356</v>
      </c>
    </row>
    <row r="19" spans="3:9" x14ac:dyDescent="0.2">
      <c r="F19" t="s">
        <v>1365</v>
      </c>
      <c r="G19" t="s">
        <v>1396</v>
      </c>
      <c r="I19" t="s">
        <v>1399</v>
      </c>
    </row>
    <row r="20" spans="3:9" x14ac:dyDescent="0.2">
      <c r="F20" t="s">
        <v>601</v>
      </c>
      <c r="G20" t="s">
        <v>291</v>
      </c>
      <c r="I20" t="s">
        <v>295</v>
      </c>
    </row>
    <row r="21" spans="3:9" x14ac:dyDescent="0.2">
      <c r="F21" t="s">
        <v>224</v>
      </c>
      <c r="G21" t="s">
        <v>299</v>
      </c>
      <c r="I21" t="s">
        <v>237</v>
      </c>
    </row>
    <row r="22" spans="3:9" x14ac:dyDescent="0.2">
      <c r="F22" t="s">
        <v>228</v>
      </c>
      <c r="G22" t="s">
        <v>247</v>
      </c>
      <c r="I22" t="s">
        <v>239</v>
      </c>
    </row>
    <row r="23" spans="3:9" x14ac:dyDescent="0.2">
      <c r="F23" t="s">
        <v>350</v>
      </c>
      <c r="G23" t="s">
        <v>272</v>
      </c>
    </row>
    <row r="24" spans="3:9" x14ac:dyDescent="0.2">
      <c r="F24" t="s">
        <v>352</v>
      </c>
    </row>
    <row r="26" spans="3:9" x14ac:dyDescent="0.2">
      <c r="G26" t="s">
        <v>745</v>
      </c>
    </row>
    <row r="27" spans="3:9" x14ac:dyDescent="0.2">
      <c r="G27" t="s">
        <v>247</v>
      </c>
    </row>
    <row r="28" spans="3:9" x14ac:dyDescent="0.2">
      <c r="G28" t="s">
        <v>601</v>
      </c>
    </row>
    <row r="29" spans="3:9" x14ac:dyDescent="0.2">
      <c r="G29" t="s">
        <v>282</v>
      </c>
    </row>
    <row r="30" spans="3:9" x14ac:dyDescent="0.2">
      <c r="G30" t="s">
        <v>309</v>
      </c>
    </row>
    <row r="31" spans="3:9" x14ac:dyDescent="0.2">
      <c r="G31" t="s">
        <v>276</v>
      </c>
    </row>
    <row r="32" spans="3:9" x14ac:dyDescent="0.2">
      <c r="G32" t="s">
        <v>291</v>
      </c>
    </row>
    <row r="33" spans="7:7" x14ac:dyDescent="0.2">
      <c r="G33" t="s">
        <v>175</v>
      </c>
    </row>
    <row r="34" spans="7:7" x14ac:dyDescent="0.2">
      <c r="G34" t="s">
        <v>308</v>
      </c>
    </row>
    <row r="35" spans="7:7" x14ac:dyDescent="0.2">
      <c r="G35" t="s">
        <v>299</v>
      </c>
    </row>
    <row r="36" spans="7:7" x14ac:dyDescent="0.2">
      <c r="G36" t="s">
        <v>272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31"/>
  <sheetViews>
    <sheetView workbookViewId="0">
      <selection activeCell="D50" sqref="D50"/>
    </sheetView>
  </sheetViews>
  <sheetFormatPr defaultRowHeight="14.25" x14ac:dyDescent="0.2"/>
  <cols>
    <col min="1" max="1" width="12.75" bestFit="1" customWidth="1"/>
    <col min="2" max="2" width="14.5" customWidth="1"/>
    <col min="3" max="3" width="35.375" bestFit="1" customWidth="1"/>
    <col min="4" max="4" width="24" customWidth="1"/>
    <col min="5" max="5" width="10.5" bestFit="1" customWidth="1"/>
    <col min="6" max="6" width="11.125" bestFit="1" customWidth="1"/>
    <col min="7" max="7" width="24" customWidth="1"/>
    <col min="8" max="8" width="9.5" bestFit="1" customWidth="1"/>
  </cols>
  <sheetData>
    <row r="1" spans="1:8" x14ac:dyDescent="0.2">
      <c r="A1" t="s">
        <v>5</v>
      </c>
      <c r="B1" t="s">
        <v>1317</v>
      </c>
      <c r="C1" t="s">
        <v>29</v>
      </c>
      <c r="D1" t="s">
        <v>30</v>
      </c>
      <c r="E1" t="s">
        <v>31</v>
      </c>
      <c r="F1" s="5" t="s">
        <v>32</v>
      </c>
      <c r="G1" t="s">
        <v>33</v>
      </c>
      <c r="H1" t="s">
        <v>34</v>
      </c>
    </row>
    <row r="2" spans="1:8" hidden="1" x14ac:dyDescent="0.2">
      <c r="A2" s="7" t="s">
        <v>7</v>
      </c>
      <c r="B2" s="7"/>
      <c r="C2" s="7" t="s">
        <v>35</v>
      </c>
      <c r="D2" s="7" t="s">
        <v>36</v>
      </c>
      <c r="E2" s="7">
        <v>62</v>
      </c>
      <c r="F2" s="8">
        <v>42315.693923611114</v>
      </c>
      <c r="G2" s="7" t="s">
        <v>36</v>
      </c>
      <c r="H2" s="9">
        <v>-1</v>
      </c>
    </row>
    <row r="3" spans="1:8" hidden="1" x14ac:dyDescent="0.2">
      <c r="A3" s="7" t="s">
        <v>7</v>
      </c>
      <c r="B3" s="7"/>
      <c r="C3" s="7" t="s">
        <v>39</v>
      </c>
      <c r="D3" s="7" t="s">
        <v>38</v>
      </c>
      <c r="E3" s="7">
        <v>16</v>
      </c>
      <c r="F3" s="8">
        <v>42185.930543981478</v>
      </c>
      <c r="G3" s="7" t="s">
        <v>38</v>
      </c>
      <c r="H3" s="9">
        <v>0</v>
      </c>
    </row>
    <row r="4" spans="1:8" hidden="1" x14ac:dyDescent="0.2">
      <c r="A4" s="7" t="s">
        <v>7</v>
      </c>
      <c r="B4" s="7"/>
      <c r="C4" s="7" t="s">
        <v>40</v>
      </c>
      <c r="D4" s="7" t="s">
        <v>38</v>
      </c>
      <c r="E4" s="7">
        <v>3</v>
      </c>
      <c r="F4" s="8">
        <v>42185.930949074071</v>
      </c>
      <c r="G4" s="7" t="s">
        <v>38</v>
      </c>
      <c r="H4" s="9">
        <v>0</v>
      </c>
    </row>
    <row r="5" spans="1:8" hidden="1" x14ac:dyDescent="0.2">
      <c r="A5" s="7" t="s">
        <v>7</v>
      </c>
      <c r="B5" s="7"/>
      <c r="C5" s="7" t="s">
        <v>41</v>
      </c>
      <c r="D5" s="7" t="s">
        <v>38</v>
      </c>
      <c r="E5" s="7">
        <v>9</v>
      </c>
      <c r="F5" s="8">
        <v>42185.930798611109</v>
      </c>
      <c r="G5" s="7" t="s">
        <v>38</v>
      </c>
      <c r="H5" s="9">
        <v>0</v>
      </c>
    </row>
    <row r="6" spans="1:8" hidden="1" x14ac:dyDescent="0.2">
      <c r="A6" s="7" t="s">
        <v>7</v>
      </c>
      <c r="B6" s="7"/>
      <c r="C6" s="7" t="s">
        <v>42</v>
      </c>
      <c r="D6" s="7" t="s">
        <v>38</v>
      </c>
      <c r="E6" s="7">
        <v>85</v>
      </c>
      <c r="F6" s="8">
        <v>42185.931273148148</v>
      </c>
      <c r="G6" s="7" t="s">
        <v>38</v>
      </c>
      <c r="H6" s="9">
        <v>0</v>
      </c>
    </row>
    <row r="7" spans="1:8" hidden="1" x14ac:dyDescent="0.2">
      <c r="A7" s="7" t="s">
        <v>7</v>
      </c>
      <c r="B7" s="7"/>
      <c r="C7" s="7" t="s">
        <v>43</v>
      </c>
      <c r="D7" s="7" t="s">
        <v>38</v>
      </c>
      <c r="E7" s="7">
        <v>15</v>
      </c>
      <c r="F7" s="8">
        <v>42185.931122685186</v>
      </c>
      <c r="G7" s="7" t="s">
        <v>38</v>
      </c>
      <c r="H7" s="9">
        <v>0</v>
      </c>
    </row>
    <row r="8" spans="1:8" hidden="1" x14ac:dyDescent="0.2">
      <c r="A8" s="7" t="s">
        <v>7</v>
      </c>
      <c r="B8" s="7"/>
      <c r="C8" s="7" t="s">
        <v>46</v>
      </c>
      <c r="D8" s="7" t="s">
        <v>38</v>
      </c>
      <c r="E8" s="7">
        <v>6</v>
      </c>
      <c r="F8" s="8">
        <v>42185.931527777779</v>
      </c>
      <c r="G8" s="7" t="s">
        <v>38</v>
      </c>
      <c r="H8" s="9">
        <v>0</v>
      </c>
    </row>
    <row r="9" spans="1:8" hidden="1" x14ac:dyDescent="0.2">
      <c r="A9" s="7" t="s">
        <v>7</v>
      </c>
      <c r="B9" s="7"/>
      <c r="C9" s="7" t="s">
        <v>47</v>
      </c>
      <c r="D9" s="7" t="s">
        <v>38</v>
      </c>
      <c r="E9" s="7">
        <v>1</v>
      </c>
      <c r="F9" s="8">
        <v>42185.931539351855</v>
      </c>
      <c r="G9" s="7" t="s">
        <v>38</v>
      </c>
      <c r="H9" s="9">
        <v>1</v>
      </c>
    </row>
    <row r="10" spans="1:8" hidden="1" x14ac:dyDescent="0.2">
      <c r="A10" s="7" t="s">
        <v>7</v>
      </c>
      <c r="B10" s="7"/>
      <c r="C10" s="7" t="s">
        <v>48</v>
      </c>
      <c r="D10" s="7" t="s">
        <v>38</v>
      </c>
      <c r="E10" s="7">
        <v>6</v>
      </c>
      <c r="F10" s="8">
        <v>42185.931539351855</v>
      </c>
      <c r="G10" s="7" t="s">
        <v>38</v>
      </c>
      <c r="H10" s="9">
        <v>0</v>
      </c>
    </row>
    <row r="11" spans="1:8" hidden="1" x14ac:dyDescent="0.2">
      <c r="A11" s="7" t="s">
        <v>7</v>
      </c>
      <c r="B11" s="7"/>
      <c r="C11" s="7" t="s">
        <v>49</v>
      </c>
      <c r="D11" s="7" t="s">
        <v>38</v>
      </c>
      <c r="E11" s="7">
        <v>2</v>
      </c>
      <c r="F11" s="8">
        <v>42185.931550925925</v>
      </c>
      <c r="G11" s="7" t="s">
        <v>38</v>
      </c>
      <c r="H11" s="9">
        <v>0</v>
      </c>
    </row>
    <row r="12" spans="1:8" hidden="1" x14ac:dyDescent="0.2">
      <c r="A12" s="7" t="s">
        <v>7</v>
      </c>
      <c r="B12" s="7"/>
      <c r="C12" s="7" t="s">
        <v>51</v>
      </c>
      <c r="D12" s="7" t="s">
        <v>38</v>
      </c>
      <c r="E12" s="7">
        <v>1</v>
      </c>
      <c r="F12" s="8">
        <v>42185.931550925925</v>
      </c>
      <c r="G12" s="7" t="s">
        <v>38</v>
      </c>
      <c r="H12" s="9">
        <v>0</v>
      </c>
    </row>
    <row r="13" spans="1:8" hidden="1" x14ac:dyDescent="0.2">
      <c r="A13" s="7" t="s">
        <v>7</v>
      </c>
      <c r="B13" s="7"/>
      <c r="C13" s="7" t="s">
        <v>54</v>
      </c>
      <c r="D13" s="7" t="s">
        <v>38</v>
      </c>
      <c r="E13" s="7">
        <v>6</v>
      </c>
      <c r="F13" s="8">
        <v>42185.931562500002</v>
      </c>
      <c r="G13" s="7" t="s">
        <v>38</v>
      </c>
      <c r="H13" s="9">
        <v>0</v>
      </c>
    </row>
    <row r="14" spans="1:8" hidden="1" x14ac:dyDescent="0.2">
      <c r="A14" s="7" t="s">
        <v>7</v>
      </c>
      <c r="B14" s="7"/>
      <c r="C14" s="7" t="s">
        <v>55</v>
      </c>
      <c r="D14" s="7" t="s">
        <v>38</v>
      </c>
      <c r="E14" s="7">
        <v>6</v>
      </c>
      <c r="F14" s="8">
        <v>42185.931643518517</v>
      </c>
      <c r="G14" s="7" t="s">
        <v>38</v>
      </c>
      <c r="H14" s="9">
        <v>0</v>
      </c>
    </row>
    <row r="15" spans="1:8" hidden="1" x14ac:dyDescent="0.2">
      <c r="A15" s="7" t="s">
        <v>7</v>
      </c>
      <c r="B15" s="7"/>
      <c r="C15" s="7" t="s">
        <v>56</v>
      </c>
      <c r="D15" s="7" t="s">
        <v>57</v>
      </c>
      <c r="E15" s="7">
        <v>32</v>
      </c>
      <c r="F15" s="8">
        <v>42174.734988425924</v>
      </c>
      <c r="G15" s="7" t="s">
        <v>57</v>
      </c>
      <c r="H15" s="9">
        <v>0</v>
      </c>
    </row>
    <row r="16" spans="1:8" x14ac:dyDescent="0.2">
      <c r="A16" t="s">
        <v>7</v>
      </c>
      <c r="B16" t="s">
        <v>1324</v>
      </c>
      <c r="C16" t="s">
        <v>224</v>
      </c>
      <c r="D16" t="s">
        <v>225</v>
      </c>
      <c r="E16">
        <v>43737</v>
      </c>
      <c r="F16" s="5">
        <v>42169.412997685184</v>
      </c>
      <c r="G16" t="s">
        <v>225</v>
      </c>
      <c r="H16" s="6">
        <v>0</v>
      </c>
    </row>
    <row r="17" spans="1:8" hidden="1" x14ac:dyDescent="0.2">
      <c r="A17" s="7" t="s">
        <v>7</v>
      </c>
      <c r="B17" s="7"/>
      <c r="C17" s="7" t="s">
        <v>59</v>
      </c>
      <c r="D17" s="7" t="s">
        <v>60</v>
      </c>
      <c r="E17" s="7">
        <v>619046</v>
      </c>
      <c r="F17" s="8">
        <v>42247.783958333333</v>
      </c>
      <c r="G17" s="7" t="s">
        <v>60</v>
      </c>
      <c r="H17" s="9">
        <v>-567</v>
      </c>
    </row>
    <row r="18" spans="1:8" hidden="1" x14ac:dyDescent="0.2">
      <c r="A18" s="7" t="s">
        <v>7</v>
      </c>
      <c r="B18" s="7"/>
      <c r="C18" s="7" t="s">
        <v>61</v>
      </c>
      <c r="D18" s="7" t="s">
        <v>62</v>
      </c>
      <c r="E18" s="7">
        <v>10</v>
      </c>
      <c r="F18" s="8">
        <v>42080.382222222222</v>
      </c>
      <c r="G18" s="7" t="s">
        <v>62</v>
      </c>
      <c r="H18" s="9">
        <v>0</v>
      </c>
    </row>
    <row r="19" spans="1:8" hidden="1" x14ac:dyDescent="0.2">
      <c r="A19" s="7" t="s">
        <v>7</v>
      </c>
      <c r="B19" s="7"/>
      <c r="C19" s="7" t="s">
        <v>63</v>
      </c>
      <c r="D19" s="7" t="s">
        <v>64</v>
      </c>
      <c r="E19" s="7">
        <v>3646</v>
      </c>
      <c r="F19" s="8">
        <v>42080.382222222222</v>
      </c>
      <c r="G19" s="7" t="s">
        <v>65</v>
      </c>
      <c r="H19" s="9">
        <v>0</v>
      </c>
    </row>
    <row r="20" spans="1:8" hidden="1" x14ac:dyDescent="0.2">
      <c r="A20" s="7" t="s">
        <v>7</v>
      </c>
      <c r="B20" s="7"/>
      <c r="C20" s="7" t="s">
        <v>66</v>
      </c>
      <c r="D20" s="7" t="s">
        <v>38</v>
      </c>
      <c r="E20" s="7">
        <v>31100</v>
      </c>
      <c r="F20" s="8">
        <v>42140.414004629631</v>
      </c>
      <c r="G20" s="7" t="s">
        <v>38</v>
      </c>
      <c r="H20" s="9">
        <v>0</v>
      </c>
    </row>
    <row r="21" spans="1:8" hidden="1" x14ac:dyDescent="0.2">
      <c r="A21" s="7" t="s">
        <v>7</v>
      </c>
      <c r="B21" s="7"/>
      <c r="C21" s="7" t="s">
        <v>67</v>
      </c>
      <c r="D21" s="7" t="s">
        <v>38</v>
      </c>
      <c r="E21" s="7">
        <v>39828</v>
      </c>
      <c r="F21" s="8">
        <v>42140.41511574074</v>
      </c>
      <c r="G21" s="7" t="s">
        <v>38</v>
      </c>
      <c r="H21" s="9">
        <v>0</v>
      </c>
    </row>
    <row r="22" spans="1:8" hidden="1" x14ac:dyDescent="0.2">
      <c r="A22" s="7" t="s">
        <v>7</v>
      </c>
      <c r="B22" s="7"/>
      <c r="C22" s="7" t="s">
        <v>68</v>
      </c>
      <c r="D22" s="7" t="s">
        <v>69</v>
      </c>
      <c r="E22" s="7">
        <v>8</v>
      </c>
      <c r="F22" s="8">
        <v>42502.660034722219</v>
      </c>
      <c r="G22" s="7" t="s">
        <v>69</v>
      </c>
      <c r="H22" s="9">
        <v>0</v>
      </c>
    </row>
    <row r="23" spans="1:8" hidden="1" x14ac:dyDescent="0.2">
      <c r="A23" s="7" t="s">
        <v>7</v>
      </c>
      <c r="B23" s="7"/>
      <c r="C23" s="7" t="s">
        <v>70</v>
      </c>
      <c r="D23" s="7" t="s">
        <v>71</v>
      </c>
      <c r="E23" s="7">
        <v>9</v>
      </c>
      <c r="F23" s="8">
        <v>42502.659942129627</v>
      </c>
      <c r="G23" s="7" t="s">
        <v>71</v>
      </c>
      <c r="H23" s="9">
        <v>0</v>
      </c>
    </row>
    <row r="24" spans="1:8" hidden="1" x14ac:dyDescent="0.2">
      <c r="A24" s="7" t="s">
        <v>7</v>
      </c>
      <c r="B24" s="7"/>
      <c r="C24" s="7" t="s">
        <v>1319</v>
      </c>
      <c r="D24" s="7" t="s">
        <v>73</v>
      </c>
      <c r="E24" s="7">
        <v>693</v>
      </c>
      <c r="F24" s="8">
        <v>42080.382222222222</v>
      </c>
      <c r="G24" s="7" t="s">
        <v>74</v>
      </c>
      <c r="H24" s="9">
        <v>0</v>
      </c>
    </row>
    <row r="25" spans="1:8" hidden="1" x14ac:dyDescent="0.2">
      <c r="A25" s="7" t="s">
        <v>7</v>
      </c>
      <c r="B25" s="7"/>
      <c r="C25" s="7" t="s">
        <v>75</v>
      </c>
      <c r="D25" s="7" t="s">
        <v>76</v>
      </c>
      <c r="E25" s="7">
        <v>4042</v>
      </c>
      <c r="F25" s="8">
        <v>42080.382222222222</v>
      </c>
      <c r="G25" s="7" t="s">
        <v>77</v>
      </c>
      <c r="H25" s="9">
        <v>0</v>
      </c>
    </row>
    <row r="26" spans="1:8" hidden="1" x14ac:dyDescent="0.2">
      <c r="A26" s="7" t="s">
        <v>7</v>
      </c>
      <c r="B26" s="7"/>
      <c r="C26" s="7" t="s">
        <v>80</v>
      </c>
      <c r="D26" s="7" t="s">
        <v>81</v>
      </c>
      <c r="E26" s="7">
        <v>6019711</v>
      </c>
      <c r="F26" s="8">
        <v>42080.382222222222</v>
      </c>
      <c r="G26" s="7" t="s">
        <v>82</v>
      </c>
      <c r="H26" s="9">
        <v>-113314</v>
      </c>
    </row>
    <row r="27" spans="1:8" x14ac:dyDescent="0.2">
      <c r="A27" t="s">
        <v>7</v>
      </c>
      <c r="B27" t="s">
        <v>1324</v>
      </c>
      <c r="C27" t="s">
        <v>228</v>
      </c>
      <c r="D27" t="s">
        <v>229</v>
      </c>
      <c r="E27">
        <v>7408</v>
      </c>
      <c r="F27" s="5">
        <v>42169.41300925926</v>
      </c>
      <c r="G27" t="s">
        <v>229</v>
      </c>
      <c r="H27" s="6">
        <v>-16</v>
      </c>
    </row>
    <row r="28" spans="1:8" hidden="1" x14ac:dyDescent="0.2">
      <c r="A28" s="7" t="s">
        <v>7</v>
      </c>
      <c r="B28" s="7"/>
      <c r="C28" s="7" t="s">
        <v>86</v>
      </c>
      <c r="D28" s="7" t="s">
        <v>38</v>
      </c>
      <c r="E28" s="7">
        <v>41625</v>
      </c>
      <c r="F28" s="8">
        <v>42527.805983796294</v>
      </c>
      <c r="G28" s="7" t="s">
        <v>38</v>
      </c>
      <c r="H28" s="9">
        <v>0</v>
      </c>
    </row>
    <row r="29" spans="1:8" x14ac:dyDescent="0.2">
      <c r="A29" t="s">
        <v>7</v>
      </c>
      <c r="B29" t="s">
        <v>1333</v>
      </c>
      <c r="C29" t="s">
        <v>350</v>
      </c>
      <c r="D29" t="s">
        <v>351</v>
      </c>
      <c r="E29">
        <v>8028</v>
      </c>
      <c r="F29" s="5">
        <v>42169.412997685184</v>
      </c>
      <c r="G29" t="s">
        <v>351</v>
      </c>
      <c r="H29" s="6">
        <v>-39</v>
      </c>
    </row>
    <row r="30" spans="1:8" hidden="1" x14ac:dyDescent="0.2">
      <c r="A30" s="7" t="s">
        <v>7</v>
      </c>
      <c r="B30" s="7"/>
      <c r="C30" s="7" t="s">
        <v>88</v>
      </c>
      <c r="D30" s="7" t="s">
        <v>38</v>
      </c>
      <c r="E30" s="7">
        <v>32817272</v>
      </c>
      <c r="F30" s="8">
        <v>42499.665729166663</v>
      </c>
      <c r="G30" s="7" t="s">
        <v>38</v>
      </c>
      <c r="H30" s="9">
        <v>0</v>
      </c>
    </row>
    <row r="31" spans="1:8" x14ac:dyDescent="0.2">
      <c r="A31" t="s">
        <v>7</v>
      </c>
      <c r="B31" t="s">
        <v>1333</v>
      </c>
      <c r="C31" t="s">
        <v>352</v>
      </c>
      <c r="D31" t="s">
        <v>353</v>
      </c>
      <c r="E31">
        <v>149255</v>
      </c>
      <c r="F31" s="5">
        <v>42169.412997685184</v>
      </c>
      <c r="G31" t="s">
        <v>353</v>
      </c>
      <c r="H31" s="6">
        <v>-147</v>
      </c>
    </row>
    <row r="32" spans="1:8" hidden="1" x14ac:dyDescent="0.2">
      <c r="A32" s="7" t="s">
        <v>7</v>
      </c>
      <c r="B32" s="7"/>
      <c r="C32" s="7" t="s">
        <v>90</v>
      </c>
      <c r="D32" s="7" t="s">
        <v>38</v>
      </c>
      <c r="E32" s="7">
        <v>27192697</v>
      </c>
      <c r="F32" s="8">
        <v>42499.685729166667</v>
      </c>
      <c r="G32" s="7" t="s">
        <v>38</v>
      </c>
      <c r="H32" s="9">
        <v>0</v>
      </c>
    </row>
    <row r="33" spans="1:8" x14ac:dyDescent="0.2">
      <c r="A33" t="s">
        <v>7</v>
      </c>
      <c r="B33" t="s">
        <v>1320</v>
      </c>
      <c r="C33" t="s">
        <v>93</v>
      </c>
      <c r="D33" t="s">
        <v>94</v>
      </c>
      <c r="E33">
        <v>409479</v>
      </c>
      <c r="F33" s="5">
        <v>42156.142083333332</v>
      </c>
      <c r="G33" t="s">
        <v>94</v>
      </c>
      <c r="H33" s="6">
        <v>-1326</v>
      </c>
    </row>
    <row r="34" spans="1:8" x14ac:dyDescent="0.2">
      <c r="A34" t="s">
        <v>7</v>
      </c>
      <c r="B34" t="s">
        <v>1322</v>
      </c>
      <c r="C34" t="s">
        <v>226</v>
      </c>
      <c r="D34" t="s">
        <v>227</v>
      </c>
      <c r="E34">
        <v>183312</v>
      </c>
      <c r="F34" s="5">
        <v>42080.382268518515</v>
      </c>
      <c r="G34" t="s">
        <v>227</v>
      </c>
      <c r="H34" s="6">
        <v>0</v>
      </c>
    </row>
    <row r="35" spans="1:8" hidden="1" x14ac:dyDescent="0.2">
      <c r="A35" s="7" t="s">
        <v>7</v>
      </c>
      <c r="B35" s="7"/>
      <c r="C35" s="7" t="s">
        <v>95</v>
      </c>
      <c r="D35" s="7" t="s">
        <v>38</v>
      </c>
      <c r="E35" s="7">
        <v>274209</v>
      </c>
      <c r="F35" s="8">
        <v>42192.655069444445</v>
      </c>
      <c r="G35" s="7" t="s">
        <v>38</v>
      </c>
      <c r="H35" s="9">
        <v>-965</v>
      </c>
    </row>
    <row r="36" spans="1:8" hidden="1" x14ac:dyDescent="0.2">
      <c r="A36" s="7" t="s">
        <v>7</v>
      </c>
      <c r="B36" s="7"/>
      <c r="C36" s="7" t="s">
        <v>98</v>
      </c>
      <c r="D36" s="7" t="s">
        <v>99</v>
      </c>
      <c r="E36" s="7">
        <v>66160</v>
      </c>
      <c r="F36" s="8">
        <v>42395.775902777779</v>
      </c>
      <c r="G36" s="7" t="s">
        <v>99</v>
      </c>
      <c r="H36" s="9">
        <v>0</v>
      </c>
    </row>
    <row r="37" spans="1:8" hidden="1" x14ac:dyDescent="0.2">
      <c r="A37" s="7" t="s">
        <v>7</v>
      </c>
      <c r="B37" s="7"/>
      <c r="C37" s="7" t="s">
        <v>100</v>
      </c>
      <c r="D37" s="7" t="s">
        <v>101</v>
      </c>
      <c r="E37" s="7">
        <v>968142</v>
      </c>
      <c r="F37" s="8">
        <v>42395.776122685187</v>
      </c>
      <c r="G37" s="7" t="s">
        <v>101</v>
      </c>
      <c r="H37" s="9">
        <v>0</v>
      </c>
    </row>
    <row r="38" spans="1:8" hidden="1" x14ac:dyDescent="0.2">
      <c r="A38" s="7" t="s">
        <v>7</v>
      </c>
      <c r="B38" s="7"/>
      <c r="C38" s="7" t="s">
        <v>102</v>
      </c>
      <c r="D38" s="7" t="s">
        <v>103</v>
      </c>
      <c r="E38" s="7">
        <v>37037</v>
      </c>
      <c r="F38" s="8">
        <v>42395.776192129626</v>
      </c>
      <c r="G38" s="7" t="s">
        <v>103</v>
      </c>
      <c r="H38" s="9">
        <v>0</v>
      </c>
    </row>
    <row r="39" spans="1:8" hidden="1" x14ac:dyDescent="0.2">
      <c r="A39" s="7" t="s">
        <v>7</v>
      </c>
      <c r="B39" s="7"/>
      <c r="C39" s="7" t="s">
        <v>104</v>
      </c>
      <c r="D39" s="7" t="s">
        <v>105</v>
      </c>
      <c r="E39" s="7">
        <v>3670</v>
      </c>
      <c r="F39" s="8">
        <v>42097.770601851851</v>
      </c>
      <c r="G39" s="7" t="s">
        <v>106</v>
      </c>
      <c r="H39" s="9">
        <v>0</v>
      </c>
    </row>
    <row r="40" spans="1:8" hidden="1" x14ac:dyDescent="0.2">
      <c r="A40" s="7" t="s">
        <v>7</v>
      </c>
      <c r="B40" s="7"/>
      <c r="C40" s="7" t="s">
        <v>107</v>
      </c>
      <c r="D40" s="7" t="s">
        <v>108</v>
      </c>
      <c r="E40" s="7">
        <v>3639</v>
      </c>
      <c r="F40" s="8">
        <v>42097.770694444444</v>
      </c>
      <c r="G40" s="7" t="s">
        <v>109</v>
      </c>
      <c r="H40" s="9">
        <v>0</v>
      </c>
    </row>
    <row r="41" spans="1:8" hidden="1" x14ac:dyDescent="0.2">
      <c r="A41" s="7" t="s">
        <v>7</v>
      </c>
      <c r="B41" s="7"/>
      <c r="C41" s="7" t="s">
        <v>110</v>
      </c>
      <c r="D41" s="7" t="s">
        <v>111</v>
      </c>
      <c r="E41" s="7">
        <v>152</v>
      </c>
      <c r="F41" s="8">
        <v>42156.142094907409</v>
      </c>
      <c r="G41" s="7" t="s">
        <v>111</v>
      </c>
      <c r="H41" s="9">
        <v>0</v>
      </c>
    </row>
    <row r="42" spans="1:8" hidden="1" x14ac:dyDescent="0.2">
      <c r="A42" s="7" t="s">
        <v>7</v>
      </c>
      <c r="B42" s="7"/>
      <c r="C42" s="7" t="s">
        <v>112</v>
      </c>
      <c r="D42" s="7" t="s">
        <v>113</v>
      </c>
      <c r="E42" s="7">
        <v>151945</v>
      </c>
      <c r="F42" s="8">
        <v>42523.412766203706</v>
      </c>
      <c r="G42" s="7" t="s">
        <v>113</v>
      </c>
      <c r="H42" s="9">
        <v>0</v>
      </c>
    </row>
    <row r="43" spans="1:8" hidden="1" x14ac:dyDescent="0.2">
      <c r="A43" s="7" t="s">
        <v>7</v>
      </c>
      <c r="B43" s="7"/>
      <c r="C43" s="7" t="s">
        <v>114</v>
      </c>
      <c r="D43" s="7" t="s">
        <v>115</v>
      </c>
      <c r="E43" s="7">
        <v>553898</v>
      </c>
      <c r="F43" s="8">
        <v>42523.412881944445</v>
      </c>
      <c r="G43" s="7" t="s">
        <v>115</v>
      </c>
      <c r="H43" s="9">
        <v>-15437</v>
      </c>
    </row>
    <row r="44" spans="1:8" hidden="1" x14ac:dyDescent="0.2">
      <c r="A44" s="7" t="s">
        <v>7</v>
      </c>
      <c r="B44" s="7"/>
      <c r="C44" s="7" t="s">
        <v>116</v>
      </c>
      <c r="D44" s="7" t="s">
        <v>117</v>
      </c>
      <c r="E44" s="7">
        <v>97935</v>
      </c>
      <c r="F44" s="8">
        <v>42080.382222222222</v>
      </c>
      <c r="G44" s="7" t="s">
        <v>118</v>
      </c>
      <c r="H44" s="9">
        <v>0</v>
      </c>
    </row>
    <row r="45" spans="1:8" hidden="1" x14ac:dyDescent="0.2">
      <c r="A45" s="7" t="s">
        <v>7</v>
      </c>
      <c r="B45" s="7"/>
      <c r="C45" s="7" t="s">
        <v>119</v>
      </c>
      <c r="D45" s="7" t="s">
        <v>120</v>
      </c>
      <c r="E45" s="7">
        <v>6</v>
      </c>
      <c r="F45" s="8">
        <v>42502.660150462965</v>
      </c>
      <c r="G45" s="7" t="s">
        <v>120</v>
      </c>
      <c r="H45" s="9">
        <v>0</v>
      </c>
    </row>
    <row r="46" spans="1:8" x14ac:dyDescent="0.2">
      <c r="A46" t="s">
        <v>7</v>
      </c>
      <c r="B46" t="s">
        <v>1336</v>
      </c>
      <c r="C46" t="s">
        <v>487</v>
      </c>
      <c r="D46" t="s">
        <v>488</v>
      </c>
      <c r="E46">
        <v>12030794</v>
      </c>
      <c r="F46" s="5">
        <v>42080.382384259261</v>
      </c>
      <c r="G46" t="s">
        <v>489</v>
      </c>
      <c r="H46" s="6">
        <v>-184731</v>
      </c>
    </row>
    <row r="47" spans="1:8" x14ac:dyDescent="0.2">
      <c r="A47" t="s">
        <v>7</v>
      </c>
      <c r="B47" t="s">
        <v>1336</v>
      </c>
      <c r="C47" t="s">
        <v>490</v>
      </c>
      <c r="D47" t="s">
        <v>491</v>
      </c>
      <c r="E47">
        <v>33851963</v>
      </c>
      <c r="F47" s="5">
        <v>42080.382384259261</v>
      </c>
      <c r="G47" t="s">
        <v>492</v>
      </c>
      <c r="H47" s="6">
        <v>-668575</v>
      </c>
    </row>
    <row r="48" spans="1:8" x14ac:dyDescent="0.2">
      <c r="A48" t="s">
        <v>7</v>
      </c>
      <c r="B48" t="s">
        <v>1339</v>
      </c>
      <c r="C48" t="s">
        <v>534</v>
      </c>
      <c r="D48" t="s">
        <v>535</v>
      </c>
      <c r="E48">
        <v>1010980</v>
      </c>
      <c r="F48" s="5">
        <v>42156.18236111111</v>
      </c>
      <c r="G48" t="s">
        <v>535</v>
      </c>
      <c r="H48" s="6">
        <v>-10590</v>
      </c>
    </row>
    <row r="49" spans="1:8" x14ac:dyDescent="0.2">
      <c r="A49" t="s">
        <v>7</v>
      </c>
      <c r="B49" t="s">
        <v>1344</v>
      </c>
      <c r="C49" t="s">
        <v>604</v>
      </c>
      <c r="D49" t="s">
        <v>605</v>
      </c>
      <c r="E49">
        <v>3405208</v>
      </c>
      <c r="F49" s="5">
        <v>42187.77715277778</v>
      </c>
      <c r="G49" t="s">
        <v>605</v>
      </c>
      <c r="H49" s="6">
        <v>-36696</v>
      </c>
    </row>
    <row r="50" spans="1:8" x14ac:dyDescent="0.2">
      <c r="A50" t="s">
        <v>7</v>
      </c>
      <c r="B50" t="s">
        <v>1339</v>
      </c>
      <c r="C50" t="s">
        <v>615</v>
      </c>
      <c r="D50" t="s">
        <v>616</v>
      </c>
      <c r="E50">
        <v>366354</v>
      </c>
      <c r="F50" s="5">
        <v>42080.382465277777</v>
      </c>
      <c r="G50" t="s">
        <v>616</v>
      </c>
      <c r="H50" s="6">
        <v>-88</v>
      </c>
    </row>
    <row r="51" spans="1:8" hidden="1" x14ac:dyDescent="0.2">
      <c r="A51" s="7" t="s">
        <v>7</v>
      </c>
      <c r="B51" s="7"/>
      <c r="C51" s="7" t="s">
        <v>131</v>
      </c>
      <c r="D51" s="7" t="s">
        <v>132</v>
      </c>
      <c r="E51" s="7">
        <v>2</v>
      </c>
      <c r="F51" s="8">
        <v>42156.142118055555</v>
      </c>
      <c r="G51" s="7" t="s">
        <v>132</v>
      </c>
      <c r="H51" s="9">
        <v>0</v>
      </c>
    </row>
    <row r="52" spans="1:8" hidden="1" x14ac:dyDescent="0.2">
      <c r="A52" s="7" t="s">
        <v>7</v>
      </c>
      <c r="B52" s="7"/>
      <c r="C52" s="7" t="s">
        <v>133</v>
      </c>
      <c r="D52" s="7" t="s">
        <v>134</v>
      </c>
      <c r="E52" s="7">
        <v>1</v>
      </c>
      <c r="F52" s="8">
        <v>42156.142118055555</v>
      </c>
      <c r="G52" s="7" t="s">
        <v>134</v>
      </c>
      <c r="H52" s="9">
        <v>0</v>
      </c>
    </row>
    <row r="53" spans="1:8" x14ac:dyDescent="0.2">
      <c r="A53" t="s">
        <v>7</v>
      </c>
      <c r="B53" t="s">
        <v>1347</v>
      </c>
      <c r="C53" t="s">
        <v>892</v>
      </c>
      <c r="D53" t="s">
        <v>893</v>
      </c>
      <c r="E53">
        <v>609908</v>
      </c>
      <c r="F53" s="5">
        <v>42080.382534722223</v>
      </c>
      <c r="G53" t="s">
        <v>894</v>
      </c>
      <c r="H53" s="6">
        <v>-6047</v>
      </c>
    </row>
    <row r="54" spans="1:8" hidden="1" x14ac:dyDescent="0.2">
      <c r="A54" s="7" t="s">
        <v>7</v>
      </c>
      <c r="B54" s="7"/>
      <c r="C54" s="7" t="s">
        <v>137</v>
      </c>
      <c r="D54" s="7" t="s">
        <v>138</v>
      </c>
      <c r="E54" s="7">
        <v>54</v>
      </c>
      <c r="F54" s="8">
        <v>42185.768634259257</v>
      </c>
      <c r="G54" s="7" t="s">
        <v>138</v>
      </c>
      <c r="H54" s="9">
        <v>0</v>
      </c>
    </row>
    <row r="55" spans="1:8" hidden="1" x14ac:dyDescent="0.2">
      <c r="A55" s="7" t="s">
        <v>7</v>
      </c>
      <c r="B55" s="7"/>
      <c r="C55" s="7" t="s">
        <v>139</v>
      </c>
      <c r="D55" s="7" t="s">
        <v>140</v>
      </c>
      <c r="E55" s="7">
        <v>4936</v>
      </c>
      <c r="F55" s="8">
        <v>42156.142129629632</v>
      </c>
      <c r="G55" s="7" t="s">
        <v>140</v>
      </c>
      <c r="H55" s="9">
        <v>0</v>
      </c>
    </row>
    <row r="56" spans="1:8" hidden="1" x14ac:dyDescent="0.2">
      <c r="A56" s="7" t="s">
        <v>7</v>
      </c>
      <c r="B56" s="7"/>
      <c r="C56" s="7" t="s">
        <v>141</v>
      </c>
      <c r="D56" s="7" t="s">
        <v>142</v>
      </c>
      <c r="E56" s="7">
        <v>7</v>
      </c>
      <c r="F56" s="8">
        <v>42156.142129629632</v>
      </c>
      <c r="G56" s="7" t="s">
        <v>142</v>
      </c>
      <c r="H56" s="9">
        <v>0</v>
      </c>
    </row>
    <row r="57" spans="1:8" hidden="1" x14ac:dyDescent="0.2">
      <c r="A57" s="7" t="s">
        <v>7</v>
      </c>
      <c r="B57" s="7"/>
      <c r="C57" s="7" t="s">
        <v>143</v>
      </c>
      <c r="D57" s="7" t="s">
        <v>144</v>
      </c>
      <c r="E57" s="7">
        <v>4859</v>
      </c>
      <c r="F57" s="8">
        <v>42156.142129629632</v>
      </c>
      <c r="G57" s="7" t="s">
        <v>144</v>
      </c>
      <c r="H57" s="9">
        <v>0</v>
      </c>
    </row>
    <row r="58" spans="1:8" x14ac:dyDescent="0.2">
      <c r="A58" t="s">
        <v>7</v>
      </c>
      <c r="B58" t="s">
        <v>1347</v>
      </c>
      <c r="C58" t="s">
        <v>895</v>
      </c>
      <c r="D58" t="s">
        <v>896</v>
      </c>
      <c r="E58">
        <v>541225</v>
      </c>
      <c r="F58" s="5">
        <v>42080.382534722223</v>
      </c>
      <c r="G58" t="s">
        <v>896</v>
      </c>
      <c r="H58" s="6">
        <v>-6581</v>
      </c>
    </row>
    <row r="59" spans="1:8" hidden="1" x14ac:dyDescent="0.2">
      <c r="A59" s="7" t="s">
        <v>7</v>
      </c>
      <c r="B59" s="7"/>
      <c r="C59" s="7" t="s">
        <v>148</v>
      </c>
      <c r="D59" s="7" t="s">
        <v>149</v>
      </c>
      <c r="E59" s="7">
        <v>312257</v>
      </c>
      <c r="F59" s="8">
        <v>42080.382233796299</v>
      </c>
      <c r="G59" s="7" t="s">
        <v>150</v>
      </c>
      <c r="H59" s="9">
        <v>-2606</v>
      </c>
    </row>
    <row r="60" spans="1:8" hidden="1" x14ac:dyDescent="0.2">
      <c r="A60" s="7" t="s">
        <v>7</v>
      </c>
      <c r="B60" s="7"/>
      <c r="C60" s="7" t="s">
        <v>151</v>
      </c>
      <c r="D60" s="7" t="s">
        <v>152</v>
      </c>
      <c r="E60" s="7">
        <v>179</v>
      </c>
      <c r="F60" s="8">
        <v>42156.142187500001</v>
      </c>
      <c r="G60" s="7" t="s">
        <v>152</v>
      </c>
      <c r="H60" s="9">
        <v>0</v>
      </c>
    </row>
    <row r="61" spans="1:8" hidden="1" x14ac:dyDescent="0.2">
      <c r="A61" s="7" t="s">
        <v>7</v>
      </c>
      <c r="B61" s="7"/>
      <c r="C61" s="7" t="s">
        <v>153</v>
      </c>
      <c r="D61" s="7" t="s">
        <v>154</v>
      </c>
      <c r="E61" s="7">
        <v>3450</v>
      </c>
      <c r="F61" s="8">
        <v>42080.382233796299</v>
      </c>
      <c r="G61" s="7" t="s">
        <v>154</v>
      </c>
      <c r="H61" s="9">
        <v>-14</v>
      </c>
    </row>
    <row r="62" spans="1:8" x14ac:dyDescent="0.2">
      <c r="A62" t="s">
        <v>901</v>
      </c>
      <c r="B62" t="s">
        <v>1378</v>
      </c>
      <c r="C62" t="s">
        <v>906</v>
      </c>
      <c r="D62" t="s">
        <v>38</v>
      </c>
      <c r="E62">
        <v>3252907</v>
      </c>
      <c r="F62" s="5">
        <v>42502.478541666664</v>
      </c>
      <c r="G62" t="s">
        <v>38</v>
      </c>
      <c r="H62" s="6">
        <v>-64938</v>
      </c>
    </row>
    <row r="63" spans="1:8" hidden="1" x14ac:dyDescent="0.2">
      <c r="A63" s="7" t="s">
        <v>7</v>
      </c>
      <c r="B63" s="7"/>
      <c r="C63" s="7" t="s">
        <v>158</v>
      </c>
      <c r="D63" s="7" t="s">
        <v>159</v>
      </c>
      <c r="E63" s="7">
        <v>17</v>
      </c>
      <c r="F63" s="8">
        <v>42080.382233796299</v>
      </c>
      <c r="G63" s="7" t="s">
        <v>159</v>
      </c>
      <c r="H63" s="9">
        <v>0</v>
      </c>
    </row>
    <row r="64" spans="1:8" hidden="1" x14ac:dyDescent="0.2">
      <c r="A64" s="7" t="s">
        <v>7</v>
      </c>
      <c r="B64" s="7"/>
      <c r="C64" s="7" t="s">
        <v>160</v>
      </c>
      <c r="D64" s="7" t="s">
        <v>161</v>
      </c>
      <c r="E64" s="7">
        <v>20</v>
      </c>
      <c r="F64" s="8">
        <v>42080.382245370369</v>
      </c>
      <c r="G64" s="7" t="s">
        <v>162</v>
      </c>
      <c r="H64" s="9">
        <v>0</v>
      </c>
    </row>
    <row r="65" spans="1:8" hidden="1" x14ac:dyDescent="0.2">
      <c r="A65" s="7" t="s">
        <v>7</v>
      </c>
      <c r="B65" s="7"/>
      <c r="C65" s="7" t="s">
        <v>163</v>
      </c>
      <c r="D65" s="7" t="s">
        <v>164</v>
      </c>
      <c r="E65" s="7">
        <v>100</v>
      </c>
      <c r="F65" s="8">
        <v>42080.382245370369</v>
      </c>
      <c r="G65" s="7" t="s">
        <v>164</v>
      </c>
      <c r="H65" s="9">
        <v>1</v>
      </c>
    </row>
    <row r="66" spans="1:8" hidden="1" x14ac:dyDescent="0.2">
      <c r="A66" s="7" t="s">
        <v>7</v>
      </c>
      <c r="B66" s="7"/>
      <c r="C66" s="7" t="s">
        <v>165</v>
      </c>
      <c r="D66" s="7" t="s">
        <v>166</v>
      </c>
      <c r="E66" s="7">
        <v>230</v>
      </c>
      <c r="F66" s="8">
        <v>42080.382245370369</v>
      </c>
      <c r="G66" s="7" t="s">
        <v>166</v>
      </c>
      <c r="H66" s="9">
        <v>1</v>
      </c>
    </row>
    <row r="67" spans="1:8" hidden="1" x14ac:dyDescent="0.2">
      <c r="A67" s="7" t="s">
        <v>7</v>
      </c>
      <c r="B67" s="7"/>
      <c r="C67" s="7" t="s">
        <v>167</v>
      </c>
      <c r="D67" s="7" t="s">
        <v>168</v>
      </c>
      <c r="E67" s="7">
        <v>2434513</v>
      </c>
      <c r="F67" s="8">
        <v>42080.382245370369</v>
      </c>
      <c r="G67" s="7" t="s">
        <v>168</v>
      </c>
      <c r="H67" s="9">
        <v>-38261</v>
      </c>
    </row>
    <row r="68" spans="1:8" hidden="1" x14ac:dyDescent="0.2">
      <c r="A68" s="7" t="s">
        <v>7</v>
      </c>
      <c r="B68" s="7"/>
      <c r="C68" s="7" t="s">
        <v>169</v>
      </c>
      <c r="D68" s="7" t="s">
        <v>170</v>
      </c>
      <c r="E68" s="7">
        <v>6</v>
      </c>
      <c r="F68" s="8">
        <v>42156.142384259256</v>
      </c>
      <c r="G68" s="7" t="s">
        <v>170</v>
      </c>
      <c r="H68" s="9">
        <v>0</v>
      </c>
    </row>
    <row r="69" spans="1:8" hidden="1" x14ac:dyDescent="0.2">
      <c r="A69" s="7" t="s">
        <v>7</v>
      </c>
      <c r="B69" s="7"/>
      <c r="C69" s="7" t="s">
        <v>171</v>
      </c>
      <c r="D69" s="7" t="s">
        <v>172</v>
      </c>
      <c r="E69" s="7">
        <v>220</v>
      </c>
      <c r="F69" s="8">
        <v>42156.142384259256</v>
      </c>
      <c r="G69" s="7" t="s">
        <v>172</v>
      </c>
      <c r="H69" s="9">
        <v>0</v>
      </c>
    </row>
    <row r="70" spans="1:8" hidden="1" x14ac:dyDescent="0.2">
      <c r="A70" s="7" t="s">
        <v>7</v>
      </c>
      <c r="B70" s="7"/>
      <c r="C70" s="7" t="s">
        <v>173</v>
      </c>
      <c r="D70" s="7" t="s">
        <v>174</v>
      </c>
      <c r="E70" s="7">
        <v>158</v>
      </c>
      <c r="F70" s="8">
        <v>42080.382245370369</v>
      </c>
      <c r="G70" s="7" t="s">
        <v>174</v>
      </c>
      <c r="H70" s="9">
        <v>-2</v>
      </c>
    </row>
    <row r="71" spans="1:8" x14ac:dyDescent="0.2">
      <c r="A71" t="s">
        <v>901</v>
      </c>
      <c r="B71" t="s">
        <v>1379</v>
      </c>
      <c r="C71" t="s">
        <v>907</v>
      </c>
      <c r="D71" t="s">
        <v>38</v>
      </c>
      <c r="E71">
        <v>14952861</v>
      </c>
      <c r="F71" s="5">
        <v>42475.552731481483</v>
      </c>
      <c r="G71" t="s">
        <v>38</v>
      </c>
      <c r="H71" s="6">
        <v>-397326</v>
      </c>
    </row>
    <row r="72" spans="1:8" x14ac:dyDescent="0.2">
      <c r="A72" t="s">
        <v>7</v>
      </c>
      <c r="B72" t="s">
        <v>1328</v>
      </c>
      <c r="C72" t="s">
        <v>295</v>
      </c>
      <c r="D72" t="s">
        <v>296</v>
      </c>
      <c r="E72">
        <v>316309</v>
      </c>
      <c r="F72" s="5">
        <v>42156.16170138889</v>
      </c>
      <c r="G72" t="s">
        <v>296</v>
      </c>
      <c r="H72" s="6">
        <v>0</v>
      </c>
    </row>
    <row r="73" spans="1:8" x14ac:dyDescent="0.2">
      <c r="A73" t="s">
        <v>7</v>
      </c>
      <c r="B73" t="s">
        <v>1366</v>
      </c>
      <c r="C73" t="s">
        <v>237</v>
      </c>
      <c r="D73" t="s">
        <v>238</v>
      </c>
      <c r="E73">
        <v>35361</v>
      </c>
      <c r="F73" s="5">
        <v>42592.770810185182</v>
      </c>
      <c r="G73" t="s">
        <v>238</v>
      </c>
      <c r="H73" s="6">
        <v>-957</v>
      </c>
    </row>
    <row r="74" spans="1:8" hidden="1" x14ac:dyDescent="0.2">
      <c r="A74" s="7" t="s">
        <v>7</v>
      </c>
      <c r="B74" s="7"/>
      <c r="C74" s="7" t="s">
        <v>182</v>
      </c>
      <c r="D74" s="7" t="s">
        <v>38</v>
      </c>
      <c r="E74" s="7">
        <v>34</v>
      </c>
      <c r="F74" s="8">
        <v>42191.590868055559</v>
      </c>
      <c r="G74" s="7" t="s">
        <v>38</v>
      </c>
      <c r="H74" s="9">
        <v>0</v>
      </c>
    </row>
    <row r="75" spans="1:8" hidden="1" x14ac:dyDescent="0.2">
      <c r="A75" s="7" t="s">
        <v>7</v>
      </c>
      <c r="B75" s="7"/>
      <c r="C75" s="7" t="s">
        <v>183</v>
      </c>
      <c r="D75" s="7" t="s">
        <v>38</v>
      </c>
      <c r="E75" s="7">
        <v>378</v>
      </c>
      <c r="F75" s="8">
        <v>42191.583460648151</v>
      </c>
      <c r="G75" s="7" t="s">
        <v>38</v>
      </c>
      <c r="H75" s="9">
        <v>0</v>
      </c>
    </row>
    <row r="76" spans="1:8" hidden="1" x14ac:dyDescent="0.2">
      <c r="A76" s="7" t="s">
        <v>7</v>
      </c>
      <c r="B76" s="7"/>
      <c r="C76" s="7" t="s">
        <v>186</v>
      </c>
      <c r="D76" s="7" t="s">
        <v>187</v>
      </c>
      <c r="E76" s="7">
        <v>105</v>
      </c>
      <c r="F76" s="8">
        <v>42303.623101851852</v>
      </c>
      <c r="G76" s="7" t="s">
        <v>187</v>
      </c>
      <c r="H76" s="9">
        <v>-6</v>
      </c>
    </row>
    <row r="77" spans="1:8" hidden="1" x14ac:dyDescent="0.2">
      <c r="A77" s="7" t="s">
        <v>7</v>
      </c>
      <c r="B77" s="7"/>
      <c r="C77" s="7" t="s">
        <v>188</v>
      </c>
      <c r="D77" s="7" t="s">
        <v>189</v>
      </c>
      <c r="E77" s="7">
        <v>1812</v>
      </c>
      <c r="F77" s="8">
        <v>42080.382245370369</v>
      </c>
      <c r="G77" s="7" t="s">
        <v>189</v>
      </c>
      <c r="H77" s="9">
        <v>0</v>
      </c>
    </row>
    <row r="78" spans="1:8" s="7" customFormat="1" hidden="1" x14ac:dyDescent="0.2">
      <c r="A78" s="7" t="s">
        <v>7</v>
      </c>
      <c r="C78" s="7" t="s">
        <v>190</v>
      </c>
      <c r="D78" s="7" t="s">
        <v>191</v>
      </c>
      <c r="E78" s="7">
        <v>1675603</v>
      </c>
      <c r="F78" s="8">
        <v>42080.684537037036</v>
      </c>
      <c r="G78" s="7" t="s">
        <v>192</v>
      </c>
      <c r="H78" s="9">
        <v>-18255</v>
      </c>
    </row>
    <row r="79" spans="1:8" hidden="1" x14ac:dyDescent="0.2">
      <c r="A79" s="7" t="s">
        <v>7</v>
      </c>
      <c r="B79" s="7"/>
      <c r="C79" s="7" t="s">
        <v>195</v>
      </c>
      <c r="D79" s="7" t="s">
        <v>196</v>
      </c>
      <c r="E79" s="7">
        <v>2790</v>
      </c>
      <c r="F79" s="8">
        <v>42080.382245370369</v>
      </c>
      <c r="G79" s="7" t="s">
        <v>196</v>
      </c>
      <c r="H79" s="9">
        <v>0</v>
      </c>
    </row>
    <row r="80" spans="1:8" hidden="1" x14ac:dyDescent="0.2">
      <c r="A80" s="7" t="s">
        <v>7</v>
      </c>
      <c r="B80" s="7"/>
      <c r="C80" s="7" t="s">
        <v>197</v>
      </c>
      <c r="D80" s="7" t="s">
        <v>198</v>
      </c>
      <c r="E80" s="7">
        <v>1597</v>
      </c>
      <c r="F80" s="8">
        <v>42080.382256944446</v>
      </c>
      <c r="G80" s="7" t="s">
        <v>199</v>
      </c>
      <c r="H80" s="9">
        <v>-21</v>
      </c>
    </row>
    <row r="81" spans="1:8" hidden="1" x14ac:dyDescent="0.2">
      <c r="A81" s="7" t="s">
        <v>7</v>
      </c>
      <c r="B81" s="7"/>
      <c r="C81" s="7" t="s">
        <v>200</v>
      </c>
      <c r="D81" s="7" t="s">
        <v>201</v>
      </c>
      <c r="E81" s="7">
        <v>42</v>
      </c>
      <c r="F81" s="8">
        <v>42080.382256944446</v>
      </c>
      <c r="G81" s="7" t="s">
        <v>201</v>
      </c>
      <c r="H81" s="9">
        <v>0</v>
      </c>
    </row>
    <row r="82" spans="1:8" s="7" customFormat="1" hidden="1" x14ac:dyDescent="0.2">
      <c r="A82" s="7" t="s">
        <v>7</v>
      </c>
      <c r="C82" s="7" t="s">
        <v>202</v>
      </c>
      <c r="D82" s="7" t="s">
        <v>203</v>
      </c>
      <c r="E82" s="7">
        <v>2076156</v>
      </c>
      <c r="F82" s="8">
        <v>42187.777129629627</v>
      </c>
      <c r="G82" s="7" t="s">
        <v>203</v>
      </c>
      <c r="H82" s="9">
        <v>-31444</v>
      </c>
    </row>
    <row r="83" spans="1:8" x14ac:dyDescent="0.2">
      <c r="A83" t="s">
        <v>7</v>
      </c>
      <c r="B83" t="s">
        <v>1366</v>
      </c>
      <c r="C83" t="s">
        <v>239</v>
      </c>
      <c r="D83" t="s">
        <v>38</v>
      </c>
      <c r="E83">
        <v>45</v>
      </c>
      <c r="F83" s="5">
        <v>42592.770810185182</v>
      </c>
      <c r="G83" t="s">
        <v>38</v>
      </c>
      <c r="H83" s="6">
        <v>0</v>
      </c>
    </row>
    <row r="84" spans="1:8" s="7" customFormat="1" hidden="1" x14ac:dyDescent="0.2">
      <c r="A84" s="7" t="s">
        <v>7</v>
      </c>
      <c r="C84" s="7" t="s">
        <v>206</v>
      </c>
      <c r="D84" s="7" t="s">
        <v>207</v>
      </c>
      <c r="E84" s="7">
        <v>713066</v>
      </c>
      <c r="F84" s="8">
        <v>42156.143217592595</v>
      </c>
      <c r="G84" s="7" t="s">
        <v>207</v>
      </c>
      <c r="H84" s="9">
        <v>-36947</v>
      </c>
    </row>
    <row r="85" spans="1:8" hidden="1" x14ac:dyDescent="0.2">
      <c r="A85" s="7" t="s">
        <v>7</v>
      </c>
      <c r="B85" s="7"/>
      <c r="C85" s="7" t="s">
        <v>208</v>
      </c>
      <c r="D85" s="7" t="s">
        <v>209</v>
      </c>
      <c r="E85" s="7">
        <v>5524722</v>
      </c>
      <c r="F85" s="8">
        <v>42080.382256944446</v>
      </c>
      <c r="G85" s="7" t="s">
        <v>210</v>
      </c>
      <c r="H85" s="9">
        <v>-111081</v>
      </c>
    </row>
    <row r="86" spans="1:8" hidden="1" x14ac:dyDescent="0.2">
      <c r="A86" s="7" t="s">
        <v>7</v>
      </c>
      <c r="B86" s="7"/>
      <c r="C86" s="7" t="s">
        <v>211</v>
      </c>
      <c r="D86" s="7" t="s">
        <v>38</v>
      </c>
      <c r="E86" s="7">
        <v>18677820</v>
      </c>
      <c r="F86" s="8">
        <v>42609.928877314815</v>
      </c>
      <c r="G86" s="7" t="s">
        <v>38</v>
      </c>
      <c r="H86" s="9">
        <v>-471693</v>
      </c>
    </row>
    <row r="87" spans="1:8" s="7" customFormat="1" hidden="1" x14ac:dyDescent="0.2">
      <c r="A87" s="7" t="s">
        <v>7</v>
      </c>
      <c r="C87" s="7" t="s">
        <v>212</v>
      </c>
      <c r="D87" s="7" t="s">
        <v>213</v>
      </c>
      <c r="E87" s="7">
        <v>93536</v>
      </c>
      <c r="F87" s="8">
        <v>42156.143506944441</v>
      </c>
      <c r="G87" s="7" t="s">
        <v>213</v>
      </c>
      <c r="H87" s="9">
        <v>0</v>
      </c>
    </row>
    <row r="88" spans="1:8" s="7" customFormat="1" hidden="1" x14ac:dyDescent="0.2">
      <c r="A88" s="7" t="s">
        <v>7</v>
      </c>
      <c r="C88" s="7" t="s">
        <v>214</v>
      </c>
      <c r="D88" s="7" t="s">
        <v>215</v>
      </c>
      <c r="E88" s="7">
        <v>2144</v>
      </c>
      <c r="F88" s="8">
        <v>42156.143541666665</v>
      </c>
      <c r="G88" s="7" t="s">
        <v>215</v>
      </c>
      <c r="H88" s="9">
        <v>0</v>
      </c>
    </row>
    <row r="89" spans="1:8" x14ac:dyDescent="0.2">
      <c r="A89" t="s">
        <v>7</v>
      </c>
      <c r="B89" t="s">
        <v>1377</v>
      </c>
      <c r="C89" t="s">
        <v>745</v>
      </c>
      <c r="D89" t="s">
        <v>746</v>
      </c>
      <c r="E89">
        <v>7474</v>
      </c>
      <c r="F89" s="5">
        <v>42545.748680555553</v>
      </c>
      <c r="G89" t="s">
        <v>746</v>
      </c>
      <c r="H89" s="6">
        <v>6</v>
      </c>
    </row>
    <row r="90" spans="1:8" hidden="1" x14ac:dyDescent="0.2">
      <c r="A90" s="7" t="s">
        <v>7</v>
      </c>
      <c r="B90" s="7"/>
      <c r="C90" s="7" t="s">
        <v>220</v>
      </c>
      <c r="D90" s="7" t="s">
        <v>38</v>
      </c>
      <c r="E90" s="7">
        <v>25</v>
      </c>
      <c r="F90" s="8">
        <v>42326.969444444447</v>
      </c>
      <c r="G90" s="7" t="s">
        <v>38</v>
      </c>
      <c r="H90" s="9">
        <v>0</v>
      </c>
    </row>
    <row r="91" spans="1:8" x14ac:dyDescent="0.2">
      <c r="A91" t="s">
        <v>7</v>
      </c>
      <c r="B91" t="s">
        <v>1367</v>
      </c>
      <c r="C91" t="s">
        <v>247</v>
      </c>
      <c r="D91" t="s">
        <v>248</v>
      </c>
      <c r="E91">
        <v>1322275</v>
      </c>
      <c r="F91" s="5">
        <v>42080.382280092592</v>
      </c>
      <c r="G91" t="s">
        <v>248</v>
      </c>
      <c r="H91" s="6">
        <v>-5004</v>
      </c>
    </row>
    <row r="92" spans="1:8" hidden="1" x14ac:dyDescent="0.2">
      <c r="A92" s="7" t="s">
        <v>7</v>
      </c>
      <c r="B92" s="7"/>
      <c r="C92" s="7" t="s">
        <v>223</v>
      </c>
      <c r="D92" s="7" t="s">
        <v>38</v>
      </c>
      <c r="E92" s="7">
        <v>55</v>
      </c>
      <c r="F92" s="8">
        <v>42160.586759259262</v>
      </c>
      <c r="G92" s="7" t="s">
        <v>38</v>
      </c>
      <c r="H92" s="9">
        <v>0</v>
      </c>
    </row>
    <row r="93" spans="1:8" x14ac:dyDescent="0.2">
      <c r="A93" t="s">
        <v>7</v>
      </c>
      <c r="B93" t="s">
        <v>1365</v>
      </c>
      <c r="C93" t="s">
        <v>601</v>
      </c>
      <c r="D93" t="s">
        <v>584</v>
      </c>
      <c r="E93">
        <v>94</v>
      </c>
      <c r="F93" s="5">
        <v>42080.382453703707</v>
      </c>
      <c r="G93" t="s">
        <v>602</v>
      </c>
      <c r="H93" s="6">
        <v>-1</v>
      </c>
    </row>
    <row r="94" spans="1:8" x14ac:dyDescent="0.2">
      <c r="A94" t="s">
        <v>7</v>
      </c>
      <c r="B94" t="s">
        <v>1362</v>
      </c>
      <c r="C94" t="s">
        <v>282</v>
      </c>
      <c r="D94" t="s">
        <v>283</v>
      </c>
      <c r="E94">
        <v>833036</v>
      </c>
      <c r="F94" s="5">
        <v>42080.382291666669</v>
      </c>
      <c r="G94" t="s">
        <v>284</v>
      </c>
      <c r="H94" s="6">
        <v>-20496</v>
      </c>
    </row>
    <row r="95" spans="1:8" x14ac:dyDescent="0.2">
      <c r="A95" t="s">
        <v>7</v>
      </c>
      <c r="B95" t="s">
        <v>1372</v>
      </c>
      <c r="C95" t="s">
        <v>309</v>
      </c>
      <c r="D95" t="s">
        <v>1330</v>
      </c>
      <c r="E95">
        <v>12425476</v>
      </c>
      <c r="F95" s="5">
        <v>42080.382303240738</v>
      </c>
      <c r="G95" t="s">
        <v>310</v>
      </c>
      <c r="H95" s="6">
        <v>-213005</v>
      </c>
    </row>
    <row r="96" spans="1:8" s="7" customFormat="1" hidden="1" x14ac:dyDescent="0.2">
      <c r="A96" s="7" t="s">
        <v>7</v>
      </c>
      <c r="C96" s="7" t="s">
        <v>230</v>
      </c>
      <c r="D96" s="7" t="s">
        <v>1323</v>
      </c>
      <c r="E96" s="7">
        <v>2103903</v>
      </c>
      <c r="F96" s="8">
        <v>42312.676423611112</v>
      </c>
      <c r="G96" s="7" t="s">
        <v>231</v>
      </c>
      <c r="H96" s="9">
        <v>-55443</v>
      </c>
    </row>
    <row r="97" spans="1:8" s="7" customFormat="1" hidden="1" x14ac:dyDescent="0.2">
      <c r="A97" s="7" t="s">
        <v>7</v>
      </c>
      <c r="C97" s="7" t="s">
        <v>232</v>
      </c>
      <c r="D97" s="7" t="s">
        <v>38</v>
      </c>
      <c r="E97" s="7">
        <v>25</v>
      </c>
      <c r="F97" s="8">
        <v>42416.868923611109</v>
      </c>
      <c r="G97" s="7" t="s">
        <v>38</v>
      </c>
      <c r="H97" s="9">
        <v>0</v>
      </c>
    </row>
    <row r="98" spans="1:8" x14ac:dyDescent="0.2">
      <c r="A98" t="s">
        <v>7</v>
      </c>
      <c r="B98" t="s">
        <v>1368</v>
      </c>
      <c r="C98" t="s">
        <v>276</v>
      </c>
      <c r="D98" t="s">
        <v>277</v>
      </c>
      <c r="E98">
        <v>5435360</v>
      </c>
      <c r="F98" s="5">
        <v>42156.161064814813</v>
      </c>
      <c r="G98" t="s">
        <v>277</v>
      </c>
      <c r="H98" s="6">
        <v>-73988</v>
      </c>
    </row>
    <row r="99" spans="1:8" x14ac:dyDescent="0.2">
      <c r="A99" t="s">
        <v>7</v>
      </c>
      <c r="B99" t="s">
        <v>1369</v>
      </c>
      <c r="C99" t="s">
        <v>291</v>
      </c>
      <c r="D99" t="s">
        <v>292</v>
      </c>
      <c r="E99">
        <v>1193588</v>
      </c>
      <c r="F99" s="5">
        <v>42156.161620370367</v>
      </c>
      <c r="G99" t="s">
        <v>292</v>
      </c>
      <c r="H99" s="6">
        <v>-26913</v>
      </c>
    </row>
    <row r="100" spans="1:8" s="7" customFormat="1" hidden="1" x14ac:dyDescent="0.2">
      <c r="A100" s="7" t="s">
        <v>7</v>
      </c>
      <c r="C100" s="7" t="s">
        <v>240</v>
      </c>
      <c r="D100" s="7" t="s">
        <v>241</v>
      </c>
      <c r="E100" s="7">
        <v>13039</v>
      </c>
      <c r="F100" s="8">
        <v>42156.143599537034</v>
      </c>
      <c r="G100" s="7" t="s">
        <v>241</v>
      </c>
      <c r="H100" s="9">
        <v>0</v>
      </c>
    </row>
    <row r="101" spans="1:8" s="7" customFormat="1" hidden="1" x14ac:dyDescent="0.2">
      <c r="A101" s="7" t="s">
        <v>7</v>
      </c>
      <c r="C101" s="7" t="s">
        <v>242</v>
      </c>
      <c r="D101" s="7" t="s">
        <v>243</v>
      </c>
      <c r="E101" s="7">
        <v>33</v>
      </c>
      <c r="F101" s="8">
        <v>42184.895787037036</v>
      </c>
      <c r="G101" s="7" t="s">
        <v>243</v>
      </c>
      <c r="H101" s="9">
        <v>0</v>
      </c>
    </row>
    <row r="102" spans="1:8" s="7" customFormat="1" hidden="1" x14ac:dyDescent="0.2">
      <c r="A102" s="7" t="s">
        <v>7</v>
      </c>
      <c r="C102" s="7" t="s">
        <v>244</v>
      </c>
      <c r="D102" s="7" t="s">
        <v>245</v>
      </c>
      <c r="E102" s="7">
        <v>1257</v>
      </c>
      <c r="F102" s="8">
        <v>42184.896296296298</v>
      </c>
      <c r="G102" s="7" t="s">
        <v>245</v>
      </c>
      <c r="H102" s="9">
        <v>-1</v>
      </c>
    </row>
    <row r="103" spans="1:8" hidden="1" x14ac:dyDescent="0.2">
      <c r="A103" s="7" t="s">
        <v>7</v>
      </c>
      <c r="B103" s="7"/>
      <c r="C103" s="7" t="s">
        <v>246</v>
      </c>
      <c r="D103" s="7" t="s">
        <v>38</v>
      </c>
      <c r="E103" s="7">
        <v>3</v>
      </c>
      <c r="F103" s="8">
        <v>42600.421076388891</v>
      </c>
      <c r="G103" s="7" t="s">
        <v>38</v>
      </c>
      <c r="H103" s="9">
        <v>0</v>
      </c>
    </row>
    <row r="104" spans="1:8" x14ac:dyDescent="0.2">
      <c r="A104" t="s">
        <v>7</v>
      </c>
      <c r="B104" t="s">
        <v>1363</v>
      </c>
      <c r="C104" t="s">
        <v>175</v>
      </c>
      <c r="D104" t="s">
        <v>176</v>
      </c>
      <c r="E104">
        <v>15636252</v>
      </c>
      <c r="F104" s="5">
        <v>42080.382245370369</v>
      </c>
      <c r="G104" t="s">
        <v>177</v>
      </c>
      <c r="H104" s="6">
        <v>-259049</v>
      </c>
    </row>
    <row r="105" spans="1:8" x14ac:dyDescent="0.2">
      <c r="A105" t="s">
        <v>7</v>
      </c>
      <c r="B105" t="s">
        <v>1371</v>
      </c>
      <c r="C105" t="s">
        <v>308</v>
      </c>
      <c r="D105" t="s">
        <v>38</v>
      </c>
      <c r="E105">
        <v>44463</v>
      </c>
      <c r="F105" s="5">
        <v>42474.625740740739</v>
      </c>
      <c r="G105" t="s">
        <v>38</v>
      </c>
      <c r="H105" s="6">
        <v>-1524</v>
      </c>
    </row>
    <row r="106" spans="1:8" s="7" customFormat="1" hidden="1" x14ac:dyDescent="0.2">
      <c r="A106" s="7" t="s">
        <v>7</v>
      </c>
      <c r="C106" s="7" t="s">
        <v>252</v>
      </c>
      <c r="D106" s="7" t="s">
        <v>253</v>
      </c>
      <c r="E106" s="7">
        <v>252329</v>
      </c>
      <c r="F106" s="8">
        <v>42614.701493055552</v>
      </c>
      <c r="G106" s="7" t="s">
        <v>253</v>
      </c>
      <c r="H106" s="9">
        <v>1243</v>
      </c>
    </row>
    <row r="107" spans="1:8" s="7" customFormat="1" hidden="1" x14ac:dyDescent="0.2">
      <c r="A107" s="7" t="s">
        <v>7</v>
      </c>
      <c r="C107" s="7" t="s">
        <v>254</v>
      </c>
      <c r="D107" s="7" t="s">
        <v>255</v>
      </c>
      <c r="E107" s="7">
        <v>15899</v>
      </c>
      <c r="F107" s="8">
        <v>42654.700185185182</v>
      </c>
      <c r="G107" s="7" t="s">
        <v>255</v>
      </c>
      <c r="H107" s="9">
        <v>2122</v>
      </c>
    </row>
    <row r="108" spans="1:8" x14ac:dyDescent="0.2">
      <c r="A108" t="s">
        <v>7</v>
      </c>
      <c r="B108" t="s">
        <v>1370</v>
      </c>
      <c r="C108" t="s">
        <v>299</v>
      </c>
      <c r="D108" t="s">
        <v>1329</v>
      </c>
      <c r="E108">
        <v>1641261</v>
      </c>
      <c r="F108" s="5">
        <v>42080.382303240738</v>
      </c>
      <c r="G108" t="s">
        <v>301</v>
      </c>
      <c r="H108" s="6">
        <v>-38803</v>
      </c>
    </row>
    <row r="109" spans="1:8" s="7" customFormat="1" hidden="1" x14ac:dyDescent="0.2">
      <c r="A109" s="7" t="s">
        <v>7</v>
      </c>
      <c r="C109" s="7" t="s">
        <v>259</v>
      </c>
      <c r="D109" s="7" t="s">
        <v>260</v>
      </c>
      <c r="E109" s="7">
        <v>2900</v>
      </c>
      <c r="F109" s="8">
        <v>42156.160428240742</v>
      </c>
      <c r="G109" s="7" t="s">
        <v>260</v>
      </c>
      <c r="H109" s="9">
        <v>-2</v>
      </c>
    </row>
    <row r="110" spans="1:8" x14ac:dyDescent="0.2">
      <c r="A110" t="s">
        <v>7</v>
      </c>
      <c r="B110" t="s">
        <v>1373</v>
      </c>
      <c r="C110" t="s">
        <v>272</v>
      </c>
      <c r="D110" t="s">
        <v>273</v>
      </c>
      <c r="E110">
        <v>589193</v>
      </c>
      <c r="F110" s="5">
        <v>42156.161030092589</v>
      </c>
      <c r="G110" t="s">
        <v>273</v>
      </c>
      <c r="H110" s="6">
        <v>-10659</v>
      </c>
    </row>
    <row r="111" spans="1:8" hidden="1" x14ac:dyDescent="0.2">
      <c r="A111" s="7" t="s">
        <v>7</v>
      </c>
      <c r="B111" s="7"/>
      <c r="C111" s="7" t="s">
        <v>264</v>
      </c>
      <c r="D111" s="7" t="s">
        <v>265</v>
      </c>
      <c r="E111" s="7">
        <v>126</v>
      </c>
      <c r="F111" s="8">
        <v>42156.16101851852</v>
      </c>
      <c r="G111" s="7" t="s">
        <v>265</v>
      </c>
      <c r="H111" s="9">
        <v>0</v>
      </c>
    </row>
    <row r="112" spans="1:8" hidden="1" x14ac:dyDescent="0.2">
      <c r="A112" s="7" t="s">
        <v>7</v>
      </c>
      <c r="B112" s="7"/>
      <c r="C112" s="7" t="s">
        <v>266</v>
      </c>
      <c r="D112" s="7" t="s">
        <v>267</v>
      </c>
      <c r="E112" s="7">
        <v>23</v>
      </c>
      <c r="F112" s="8">
        <v>42156.16101851852</v>
      </c>
      <c r="G112" s="7" t="s">
        <v>267</v>
      </c>
      <c r="H112" s="9">
        <v>0</v>
      </c>
    </row>
    <row r="113" spans="1:8" hidden="1" x14ac:dyDescent="0.2">
      <c r="A113" s="7" t="s">
        <v>7</v>
      </c>
      <c r="B113" s="7"/>
      <c r="C113" s="7" t="s">
        <v>268</v>
      </c>
      <c r="D113" s="7" t="s">
        <v>269</v>
      </c>
      <c r="E113" s="7">
        <v>23</v>
      </c>
      <c r="F113" s="8">
        <v>42156.16101851852</v>
      </c>
      <c r="G113" s="7" t="s">
        <v>269</v>
      </c>
      <c r="H113" s="9">
        <v>0</v>
      </c>
    </row>
    <row r="114" spans="1:8" hidden="1" x14ac:dyDescent="0.2">
      <c r="A114" s="7" t="s">
        <v>7</v>
      </c>
      <c r="B114" s="7"/>
      <c r="C114" s="7" t="s">
        <v>270</v>
      </c>
      <c r="D114" s="7" t="s">
        <v>271</v>
      </c>
      <c r="E114" s="7">
        <v>3381</v>
      </c>
      <c r="F114" s="8">
        <v>42080.382291666669</v>
      </c>
      <c r="G114" s="7" t="s">
        <v>271</v>
      </c>
      <c r="H114" s="9">
        <v>0</v>
      </c>
    </row>
    <row r="115" spans="1:8" x14ac:dyDescent="0.2">
      <c r="A115" t="s">
        <v>7</v>
      </c>
      <c r="B115" t="s">
        <v>1397</v>
      </c>
      <c r="C115" t="s">
        <v>356</v>
      </c>
      <c r="D115" t="s">
        <v>357</v>
      </c>
      <c r="E115">
        <v>331491</v>
      </c>
      <c r="F115" s="5">
        <v>42185.757361111115</v>
      </c>
      <c r="G115" t="s">
        <v>357</v>
      </c>
      <c r="H115" s="6">
        <v>-14277</v>
      </c>
    </row>
    <row r="116" spans="1:8" hidden="1" x14ac:dyDescent="0.2">
      <c r="A116" s="7" t="s">
        <v>7</v>
      </c>
      <c r="B116" s="7"/>
      <c r="C116" s="7" t="s">
        <v>274</v>
      </c>
      <c r="D116" s="7" t="s">
        <v>275</v>
      </c>
      <c r="E116" s="7">
        <v>170341</v>
      </c>
      <c r="F116" s="8">
        <v>42156.161053240743</v>
      </c>
      <c r="G116" s="7" t="s">
        <v>275</v>
      </c>
      <c r="H116" s="9">
        <v>-3190</v>
      </c>
    </row>
    <row r="117" spans="1:8" x14ac:dyDescent="0.2">
      <c r="A117" t="s">
        <v>7</v>
      </c>
      <c r="B117" t="s">
        <v>1349</v>
      </c>
      <c r="C117" t="s">
        <v>725</v>
      </c>
      <c r="D117" t="s">
        <v>726</v>
      </c>
      <c r="E117">
        <v>923</v>
      </c>
      <c r="F117" s="5">
        <v>42156.193206018521</v>
      </c>
      <c r="G117" t="s">
        <v>726</v>
      </c>
      <c r="H117" s="6">
        <v>0</v>
      </c>
    </row>
    <row r="118" spans="1:8" s="7" customFormat="1" hidden="1" x14ac:dyDescent="0.2">
      <c r="A118" s="7" t="s">
        <v>7</v>
      </c>
      <c r="C118" s="7" t="s">
        <v>278</v>
      </c>
      <c r="D118" s="7" t="s">
        <v>279</v>
      </c>
      <c r="E118" s="7">
        <v>64912</v>
      </c>
      <c r="F118" s="8">
        <v>42156.161574074074</v>
      </c>
      <c r="G118" s="7" t="s">
        <v>279</v>
      </c>
      <c r="H118" s="9">
        <v>0</v>
      </c>
    </row>
    <row r="119" spans="1:8" hidden="1" x14ac:dyDescent="0.2">
      <c r="A119" s="7" t="s">
        <v>7</v>
      </c>
      <c r="B119" s="7"/>
      <c r="C119" s="7" t="s">
        <v>280</v>
      </c>
      <c r="D119" s="7" t="s">
        <v>281</v>
      </c>
      <c r="E119" s="7">
        <v>112</v>
      </c>
      <c r="F119" s="8">
        <v>42156.161585648151</v>
      </c>
      <c r="G119" s="7" t="s">
        <v>281</v>
      </c>
      <c r="H119" s="9">
        <v>0</v>
      </c>
    </row>
    <row r="120" spans="1:8" x14ac:dyDescent="0.2">
      <c r="A120" t="s">
        <v>7</v>
      </c>
      <c r="B120" t="s">
        <v>1349</v>
      </c>
      <c r="C120" t="s">
        <v>827</v>
      </c>
      <c r="D120" t="s">
        <v>828</v>
      </c>
      <c r="E120">
        <v>2315945</v>
      </c>
      <c r="F120" s="5">
        <v>42156.204722222225</v>
      </c>
      <c r="G120" t="s">
        <v>828</v>
      </c>
      <c r="H120" s="6">
        <v>-34399</v>
      </c>
    </row>
    <row r="121" spans="1:8" hidden="1" x14ac:dyDescent="0.2">
      <c r="A121" s="7" t="s">
        <v>7</v>
      </c>
      <c r="B121" s="7"/>
      <c r="C121" s="7" t="s">
        <v>285</v>
      </c>
      <c r="D121" s="7" t="s">
        <v>286</v>
      </c>
      <c r="E121" s="7">
        <v>3811</v>
      </c>
      <c r="F121" s="8">
        <v>42156.161620370367</v>
      </c>
      <c r="G121" s="7" t="s">
        <v>286</v>
      </c>
      <c r="H121" s="9">
        <v>0</v>
      </c>
    </row>
    <row r="122" spans="1:8" hidden="1" x14ac:dyDescent="0.2">
      <c r="A122" s="7" t="s">
        <v>7</v>
      </c>
      <c r="B122" s="7"/>
      <c r="C122" s="7" t="s">
        <v>287</v>
      </c>
      <c r="D122" s="7" t="s">
        <v>288</v>
      </c>
      <c r="E122" s="7">
        <v>3114</v>
      </c>
      <c r="F122" s="8">
        <v>42156.161620370367</v>
      </c>
      <c r="G122" s="7" t="s">
        <v>288</v>
      </c>
      <c r="H122" s="9">
        <v>0</v>
      </c>
    </row>
    <row r="123" spans="1:8" hidden="1" x14ac:dyDescent="0.2">
      <c r="A123" s="7" t="s">
        <v>7</v>
      </c>
      <c r="B123" s="7"/>
      <c r="C123" s="7" t="s">
        <v>289</v>
      </c>
      <c r="D123" s="7" t="s">
        <v>290</v>
      </c>
      <c r="E123" s="7">
        <v>363</v>
      </c>
      <c r="F123" s="8">
        <v>42440.594166666669</v>
      </c>
      <c r="G123" s="7" t="s">
        <v>290</v>
      </c>
      <c r="H123" s="9">
        <v>-8</v>
      </c>
    </row>
    <row r="124" spans="1:8" x14ac:dyDescent="0.2">
      <c r="A124" t="s">
        <v>7</v>
      </c>
      <c r="B124" t="s">
        <v>1349</v>
      </c>
      <c r="C124" t="s">
        <v>842</v>
      </c>
      <c r="D124" t="s">
        <v>843</v>
      </c>
      <c r="E124">
        <v>87906</v>
      </c>
      <c r="F124" s="5">
        <v>42156.204930555556</v>
      </c>
      <c r="G124" t="s">
        <v>843</v>
      </c>
      <c r="H124" s="6">
        <v>0</v>
      </c>
    </row>
    <row r="125" spans="1:8" hidden="1" x14ac:dyDescent="0.2">
      <c r="A125" s="7" t="s">
        <v>7</v>
      </c>
      <c r="B125" s="7"/>
      <c r="C125" s="7" t="s">
        <v>293</v>
      </c>
      <c r="D125" s="7" t="s">
        <v>294</v>
      </c>
      <c r="E125" s="7">
        <v>228810</v>
      </c>
      <c r="F125" s="8">
        <v>42174.735821759263</v>
      </c>
      <c r="G125" s="7" t="s">
        <v>294</v>
      </c>
      <c r="H125" s="9">
        <v>-1089</v>
      </c>
    </row>
    <row r="126" spans="1:8" x14ac:dyDescent="0.2">
      <c r="A126" t="s">
        <v>7</v>
      </c>
      <c r="B126" t="s">
        <v>1326</v>
      </c>
      <c r="C126" t="s">
        <v>155</v>
      </c>
      <c r="D126" t="s">
        <v>156</v>
      </c>
      <c r="E126">
        <v>40</v>
      </c>
      <c r="F126" s="5">
        <v>42080.382233796299</v>
      </c>
      <c r="G126" t="s">
        <v>157</v>
      </c>
      <c r="H126" s="6">
        <v>0</v>
      </c>
    </row>
    <row r="127" spans="1:8" s="7" customFormat="1" hidden="1" x14ac:dyDescent="0.2">
      <c r="A127" s="7" t="s">
        <v>7</v>
      </c>
      <c r="C127" s="7" t="s">
        <v>297</v>
      </c>
      <c r="D127" s="7" t="s">
        <v>298</v>
      </c>
      <c r="E127" s="7">
        <v>40</v>
      </c>
      <c r="F127" s="8">
        <v>42156.16170138889</v>
      </c>
      <c r="G127" s="7" t="s">
        <v>298</v>
      </c>
      <c r="H127" s="9">
        <v>0</v>
      </c>
    </row>
    <row r="128" spans="1:8" x14ac:dyDescent="0.2">
      <c r="A128" t="s">
        <v>7</v>
      </c>
      <c r="B128" t="s">
        <v>1321</v>
      </c>
      <c r="C128" t="s">
        <v>121</v>
      </c>
      <c r="D128" t="s">
        <v>122</v>
      </c>
      <c r="E128">
        <v>329</v>
      </c>
      <c r="F128" s="5">
        <v>42156.142118055555</v>
      </c>
      <c r="G128" t="s">
        <v>122</v>
      </c>
      <c r="H128" s="6">
        <v>3</v>
      </c>
    </row>
    <row r="129" spans="1:8" s="7" customFormat="1" hidden="1" x14ac:dyDescent="0.2">
      <c r="A129" s="7" t="s">
        <v>7</v>
      </c>
      <c r="C129" s="7" t="s">
        <v>302</v>
      </c>
      <c r="D129" s="7" t="s">
        <v>38</v>
      </c>
      <c r="E129" s="7">
        <v>7331</v>
      </c>
      <c r="F129" s="8">
        <v>42156.161932870367</v>
      </c>
      <c r="G129" s="7" t="s">
        <v>38</v>
      </c>
      <c r="H129" s="9">
        <v>-13</v>
      </c>
    </row>
    <row r="130" spans="1:8" s="7" customFormat="1" hidden="1" x14ac:dyDescent="0.2">
      <c r="A130" s="7" t="s">
        <v>7</v>
      </c>
      <c r="C130" s="7" t="s">
        <v>303</v>
      </c>
      <c r="D130" s="7" t="s">
        <v>38</v>
      </c>
      <c r="E130" s="7">
        <v>532</v>
      </c>
      <c r="F130" s="8">
        <v>42080.382303240738</v>
      </c>
      <c r="G130" s="7" t="s">
        <v>38</v>
      </c>
      <c r="H130" s="9">
        <v>0</v>
      </c>
    </row>
    <row r="131" spans="1:8" s="7" customFormat="1" hidden="1" x14ac:dyDescent="0.2">
      <c r="A131" s="7" t="s">
        <v>7</v>
      </c>
      <c r="C131" s="7" t="s">
        <v>304</v>
      </c>
      <c r="D131" s="7" t="s">
        <v>305</v>
      </c>
      <c r="E131" s="7">
        <v>16202963</v>
      </c>
      <c r="F131" s="8">
        <v>42156.161944444444</v>
      </c>
      <c r="G131" s="7" t="s">
        <v>305</v>
      </c>
      <c r="H131" s="9">
        <v>-300697</v>
      </c>
    </row>
    <row r="132" spans="1:8" x14ac:dyDescent="0.2">
      <c r="A132" t="s">
        <v>7</v>
      </c>
      <c r="B132" t="s">
        <v>1321</v>
      </c>
      <c r="C132" t="s">
        <v>123</v>
      </c>
      <c r="D132" t="s">
        <v>124</v>
      </c>
      <c r="E132">
        <v>14</v>
      </c>
      <c r="F132" s="5">
        <v>42156.142118055555</v>
      </c>
      <c r="G132" t="s">
        <v>124</v>
      </c>
      <c r="H132" s="6">
        <v>0</v>
      </c>
    </row>
    <row r="133" spans="1:8" x14ac:dyDescent="0.2">
      <c r="A133" t="s">
        <v>7</v>
      </c>
      <c r="B133" t="s">
        <v>1321</v>
      </c>
      <c r="C133" t="s">
        <v>125</v>
      </c>
      <c r="D133" t="s">
        <v>126</v>
      </c>
      <c r="E133">
        <v>8904</v>
      </c>
      <c r="F133" s="5">
        <v>42156.142118055555</v>
      </c>
      <c r="G133" t="s">
        <v>126</v>
      </c>
      <c r="H133" s="6">
        <v>-23</v>
      </c>
    </row>
    <row r="134" spans="1:8" hidden="1" x14ac:dyDescent="0.2">
      <c r="A134" s="7" t="s">
        <v>7</v>
      </c>
      <c r="B134" s="7"/>
      <c r="C134" s="7" t="s">
        <v>313</v>
      </c>
      <c r="D134" s="7" t="s">
        <v>314</v>
      </c>
      <c r="E134" s="7">
        <v>187</v>
      </c>
      <c r="F134" s="8">
        <v>42656.418611111112</v>
      </c>
      <c r="G134" s="7" t="s">
        <v>314</v>
      </c>
      <c r="H134" s="9">
        <v>0</v>
      </c>
    </row>
    <row r="135" spans="1:8" hidden="1" x14ac:dyDescent="0.2">
      <c r="A135" s="7" t="s">
        <v>7</v>
      </c>
      <c r="B135" s="7"/>
      <c r="C135" s="7" t="s">
        <v>315</v>
      </c>
      <c r="D135" s="7" t="s">
        <v>316</v>
      </c>
      <c r="E135" s="7">
        <v>3347</v>
      </c>
      <c r="F135" s="8">
        <v>42156.163356481484</v>
      </c>
      <c r="G135" s="7" t="s">
        <v>316</v>
      </c>
      <c r="H135" s="9">
        <v>-136</v>
      </c>
    </row>
    <row r="136" spans="1:8" hidden="1" x14ac:dyDescent="0.2">
      <c r="A136" s="7" t="s">
        <v>7</v>
      </c>
      <c r="B136" s="7"/>
      <c r="C136" s="7" t="s">
        <v>317</v>
      </c>
      <c r="D136" s="7" t="s">
        <v>318</v>
      </c>
      <c r="E136" s="7">
        <v>24</v>
      </c>
      <c r="F136" s="8">
        <v>42156.163356481484</v>
      </c>
      <c r="G136" s="7" t="s">
        <v>318</v>
      </c>
      <c r="H136" s="9">
        <v>0</v>
      </c>
    </row>
    <row r="137" spans="1:8" hidden="1" x14ac:dyDescent="0.2">
      <c r="A137" s="7" t="s">
        <v>7</v>
      </c>
      <c r="B137" s="7"/>
      <c r="C137" s="7" t="s">
        <v>319</v>
      </c>
      <c r="D137" s="7" t="s">
        <v>320</v>
      </c>
      <c r="E137" s="7">
        <v>2413911</v>
      </c>
      <c r="F137" s="8">
        <v>42110.350127314814</v>
      </c>
      <c r="G137" s="7" t="s">
        <v>320</v>
      </c>
      <c r="H137" s="9">
        <v>-12471</v>
      </c>
    </row>
    <row r="138" spans="1:8" hidden="1" x14ac:dyDescent="0.2">
      <c r="A138" s="7" t="s">
        <v>7</v>
      </c>
      <c r="B138" s="7"/>
      <c r="C138" s="7" t="s">
        <v>321</v>
      </c>
      <c r="D138" s="7" t="s">
        <v>38</v>
      </c>
      <c r="E138" s="7">
        <v>39926</v>
      </c>
      <c r="F138" s="8">
        <v>42600.421076388891</v>
      </c>
      <c r="G138" s="7" t="s">
        <v>38</v>
      </c>
      <c r="H138" s="9">
        <v>-89</v>
      </c>
    </row>
    <row r="139" spans="1:8" hidden="1" x14ac:dyDescent="0.2">
      <c r="A139" s="7" t="s">
        <v>7</v>
      </c>
      <c r="B139" s="7"/>
      <c r="C139" s="7" t="s">
        <v>322</v>
      </c>
      <c r="D139" s="7" t="s">
        <v>38</v>
      </c>
      <c r="E139" s="7">
        <v>3800</v>
      </c>
      <c r="F139" s="8">
        <v>42600.421076388891</v>
      </c>
      <c r="G139" s="7" t="s">
        <v>38</v>
      </c>
      <c r="H139" s="9">
        <v>-66</v>
      </c>
    </row>
    <row r="140" spans="1:8" x14ac:dyDescent="0.2">
      <c r="A140" t="s">
        <v>7</v>
      </c>
      <c r="B140" t="s">
        <v>1321</v>
      </c>
      <c r="C140" t="s">
        <v>127</v>
      </c>
      <c r="D140" t="s">
        <v>128</v>
      </c>
      <c r="E140">
        <v>242</v>
      </c>
      <c r="F140" s="5">
        <v>42156.142118055555</v>
      </c>
      <c r="G140" t="s">
        <v>128</v>
      </c>
      <c r="H140" s="6">
        <v>0</v>
      </c>
    </row>
    <row r="141" spans="1:8" hidden="1" x14ac:dyDescent="0.2">
      <c r="A141" s="7" t="s">
        <v>7</v>
      </c>
      <c r="B141" s="7"/>
      <c r="C141" s="7" t="s">
        <v>325</v>
      </c>
      <c r="D141" s="7" t="s">
        <v>326</v>
      </c>
      <c r="E141" s="7">
        <v>1775</v>
      </c>
      <c r="F141" s="8">
        <v>42156.163356481484</v>
      </c>
      <c r="G141" s="7" t="s">
        <v>326</v>
      </c>
      <c r="H141" s="9">
        <v>0</v>
      </c>
    </row>
    <row r="142" spans="1:8" x14ac:dyDescent="0.2">
      <c r="A142" t="s">
        <v>7</v>
      </c>
      <c r="B142" t="s">
        <v>1321</v>
      </c>
      <c r="C142" t="s">
        <v>129</v>
      </c>
      <c r="D142" t="s">
        <v>130</v>
      </c>
      <c r="E142">
        <v>5879</v>
      </c>
      <c r="F142" s="5">
        <v>42342.680451388886</v>
      </c>
      <c r="G142" t="s">
        <v>130</v>
      </c>
      <c r="H142" s="6">
        <v>-112</v>
      </c>
    </row>
    <row r="143" spans="1:8" hidden="1" x14ac:dyDescent="0.2">
      <c r="A143" s="7" t="s">
        <v>7</v>
      </c>
      <c r="B143" s="7"/>
      <c r="C143" s="7" t="s">
        <v>329</v>
      </c>
      <c r="D143" s="7" t="s">
        <v>330</v>
      </c>
      <c r="E143" s="7">
        <v>14</v>
      </c>
      <c r="F143" s="8">
        <v>42156.16375</v>
      </c>
      <c r="G143" s="7" t="s">
        <v>330</v>
      </c>
      <c r="H143" s="9">
        <v>0</v>
      </c>
    </row>
    <row r="144" spans="1:8" hidden="1" x14ac:dyDescent="0.2">
      <c r="A144" s="7" t="s">
        <v>7</v>
      </c>
      <c r="B144" s="7"/>
      <c r="C144" s="7" t="s">
        <v>331</v>
      </c>
      <c r="D144" s="7" t="s">
        <v>332</v>
      </c>
      <c r="E144" s="7">
        <v>681</v>
      </c>
      <c r="F144" s="8">
        <v>42632.735381944447</v>
      </c>
      <c r="G144" s="7" t="s">
        <v>332</v>
      </c>
      <c r="H144" s="9">
        <v>0</v>
      </c>
    </row>
    <row r="145" spans="1:8" hidden="1" x14ac:dyDescent="0.2">
      <c r="A145" s="7" t="s">
        <v>7</v>
      </c>
      <c r="B145" s="7"/>
      <c r="C145" s="7" t="s">
        <v>335</v>
      </c>
      <c r="D145" s="7" t="s">
        <v>336</v>
      </c>
      <c r="E145" s="7">
        <v>37177</v>
      </c>
      <c r="F145" s="8">
        <v>42080.382314814815</v>
      </c>
      <c r="G145" s="7" t="s">
        <v>337</v>
      </c>
      <c r="H145" s="9">
        <v>-176</v>
      </c>
    </row>
    <row r="146" spans="1:8" hidden="1" x14ac:dyDescent="0.2">
      <c r="A146" s="7" t="s">
        <v>7</v>
      </c>
      <c r="B146" s="7"/>
      <c r="C146" s="7" t="s">
        <v>338</v>
      </c>
      <c r="D146" s="7" t="s">
        <v>339</v>
      </c>
      <c r="E146" s="7">
        <v>433</v>
      </c>
      <c r="F146" s="8">
        <v>42080.382314814815</v>
      </c>
      <c r="G146" s="7" t="s">
        <v>339</v>
      </c>
      <c r="H146" s="9">
        <v>0</v>
      </c>
    </row>
    <row r="147" spans="1:8" hidden="1" x14ac:dyDescent="0.2">
      <c r="A147" s="7" t="s">
        <v>7</v>
      </c>
      <c r="B147" s="7"/>
      <c r="C147" s="7" t="s">
        <v>340</v>
      </c>
      <c r="D147" s="7" t="s">
        <v>341</v>
      </c>
      <c r="E147" s="7">
        <v>820</v>
      </c>
      <c r="F147" s="8">
        <v>42080.382314814815</v>
      </c>
      <c r="G147" s="7" t="s">
        <v>341</v>
      </c>
      <c r="H147" s="9">
        <v>0</v>
      </c>
    </row>
    <row r="148" spans="1:8" x14ac:dyDescent="0.2">
      <c r="A148" t="s">
        <v>7</v>
      </c>
      <c r="B148" t="s">
        <v>1321</v>
      </c>
      <c r="C148" t="s">
        <v>135</v>
      </c>
      <c r="D148" t="s">
        <v>136</v>
      </c>
      <c r="E148">
        <v>2797</v>
      </c>
      <c r="F148" s="5">
        <v>42156.142129629632</v>
      </c>
      <c r="G148" t="s">
        <v>136</v>
      </c>
      <c r="H148" s="6">
        <v>0</v>
      </c>
    </row>
    <row r="149" spans="1:8" hidden="1" x14ac:dyDescent="0.2">
      <c r="A149" s="7" t="s">
        <v>7</v>
      </c>
      <c r="B149" s="7"/>
      <c r="C149" s="7" t="s">
        <v>344</v>
      </c>
      <c r="D149" s="7" t="s">
        <v>345</v>
      </c>
      <c r="E149" s="7">
        <v>95</v>
      </c>
      <c r="F149" s="8">
        <v>42156.163900462961</v>
      </c>
      <c r="G149" s="7" t="s">
        <v>345</v>
      </c>
      <c r="H149" s="9">
        <v>2</v>
      </c>
    </row>
    <row r="150" spans="1:8" x14ac:dyDescent="0.2">
      <c r="A150" t="s">
        <v>7</v>
      </c>
      <c r="B150" t="s">
        <v>1352</v>
      </c>
      <c r="C150" t="s">
        <v>87</v>
      </c>
      <c r="D150" t="s">
        <v>38</v>
      </c>
      <c r="E150">
        <v>7900826</v>
      </c>
      <c r="F150" s="5">
        <v>42331.622152777774</v>
      </c>
      <c r="G150" t="s">
        <v>38</v>
      </c>
      <c r="H150" s="6">
        <v>-241467</v>
      </c>
    </row>
    <row r="151" spans="1:8" s="7" customFormat="1" hidden="1" x14ac:dyDescent="0.2">
      <c r="A151" s="7" t="s">
        <v>7</v>
      </c>
      <c r="C151" s="7" t="s">
        <v>348</v>
      </c>
      <c r="D151" s="7" t="s">
        <v>349</v>
      </c>
      <c r="E151" s="7">
        <v>1062</v>
      </c>
      <c r="F151" s="8">
        <v>42080.382326388892</v>
      </c>
      <c r="G151" s="7" t="s">
        <v>349</v>
      </c>
      <c r="H151" s="9">
        <v>-5</v>
      </c>
    </row>
    <row r="152" spans="1:8" x14ac:dyDescent="0.2">
      <c r="A152" t="s">
        <v>7</v>
      </c>
      <c r="B152" t="s">
        <v>1352</v>
      </c>
      <c r="C152" t="s">
        <v>89</v>
      </c>
      <c r="D152" t="s">
        <v>38</v>
      </c>
      <c r="E152">
        <v>7340813</v>
      </c>
      <c r="F152" s="5">
        <v>42166.407581018517</v>
      </c>
      <c r="G152" t="s">
        <v>38</v>
      </c>
      <c r="H152" s="6">
        <v>-214264</v>
      </c>
    </row>
    <row r="153" spans="1:8" x14ac:dyDescent="0.2">
      <c r="A153" t="s">
        <v>7</v>
      </c>
      <c r="B153" t="s">
        <v>1352</v>
      </c>
      <c r="C153" t="s">
        <v>91</v>
      </c>
      <c r="D153" t="s">
        <v>92</v>
      </c>
      <c r="E153">
        <v>118</v>
      </c>
      <c r="F153" s="5">
        <v>42166.407685185186</v>
      </c>
      <c r="G153" t="s">
        <v>92</v>
      </c>
      <c r="H153" s="6">
        <v>0</v>
      </c>
    </row>
    <row r="154" spans="1:8" hidden="1" x14ac:dyDescent="0.2">
      <c r="A154" s="7" t="s">
        <v>7</v>
      </c>
      <c r="B154" s="7"/>
      <c r="C154" s="7" t="s">
        <v>354</v>
      </c>
      <c r="D154" s="7" t="s">
        <v>355</v>
      </c>
      <c r="E154" s="7">
        <v>43593</v>
      </c>
      <c r="F154" s="8">
        <v>42186.005937499998</v>
      </c>
      <c r="G154" s="7" t="s">
        <v>355</v>
      </c>
      <c r="H154" s="9">
        <v>0</v>
      </c>
    </row>
    <row r="155" spans="1:8" x14ac:dyDescent="0.2">
      <c r="A155" t="s">
        <v>7</v>
      </c>
      <c r="B155" t="s">
        <v>1353</v>
      </c>
      <c r="C155" t="s">
        <v>178</v>
      </c>
      <c r="D155" t="s">
        <v>179</v>
      </c>
      <c r="E155">
        <v>6799</v>
      </c>
      <c r="F155" s="5">
        <v>42482.004201388889</v>
      </c>
      <c r="G155" t="s">
        <v>179</v>
      </c>
      <c r="H155" s="6">
        <v>0</v>
      </c>
    </row>
    <row r="156" spans="1:8" hidden="1" x14ac:dyDescent="0.2">
      <c r="A156" s="7" t="s">
        <v>7</v>
      </c>
      <c r="B156" s="7"/>
      <c r="C156" s="7" t="s">
        <v>358</v>
      </c>
      <c r="D156" s="7" t="s">
        <v>38</v>
      </c>
      <c r="E156" s="7">
        <v>1643</v>
      </c>
      <c r="F156" s="8">
        <v>42347.549201388887</v>
      </c>
      <c r="G156" s="7" t="s">
        <v>38</v>
      </c>
      <c r="H156" s="9">
        <v>5</v>
      </c>
    </row>
    <row r="157" spans="1:8" x14ac:dyDescent="0.2">
      <c r="A157" t="s">
        <v>7</v>
      </c>
      <c r="B157" t="s">
        <v>1325</v>
      </c>
      <c r="C157" t="s">
        <v>145</v>
      </c>
      <c r="D157" t="s">
        <v>146</v>
      </c>
      <c r="E157">
        <v>1842</v>
      </c>
      <c r="F157" s="5">
        <v>42080.382233796299</v>
      </c>
      <c r="G157" t="s">
        <v>147</v>
      </c>
      <c r="H157" s="6">
        <v>-15</v>
      </c>
    </row>
    <row r="158" spans="1:8" hidden="1" x14ac:dyDescent="0.2">
      <c r="A158" s="7" t="s">
        <v>7</v>
      </c>
      <c r="B158" s="7"/>
      <c r="C158" s="7" t="s">
        <v>361</v>
      </c>
      <c r="D158" s="7" t="s">
        <v>362</v>
      </c>
      <c r="E158" s="7">
        <v>564</v>
      </c>
      <c r="F158" s="8">
        <v>42135.655763888892</v>
      </c>
      <c r="G158" s="7" t="s">
        <v>362</v>
      </c>
      <c r="H158" s="9">
        <v>3</v>
      </c>
    </row>
    <row r="159" spans="1:8" hidden="1" x14ac:dyDescent="0.2">
      <c r="A159" s="7" t="s">
        <v>7</v>
      </c>
      <c r="B159" s="7"/>
      <c r="C159" s="7" t="s">
        <v>363</v>
      </c>
      <c r="D159" s="7" t="s">
        <v>38</v>
      </c>
      <c r="E159" s="7">
        <v>226</v>
      </c>
      <c r="F159" s="8">
        <v>42156.163935185185</v>
      </c>
      <c r="G159" s="7" t="s">
        <v>38</v>
      </c>
      <c r="H159" s="9">
        <v>0</v>
      </c>
    </row>
    <row r="160" spans="1:8" x14ac:dyDescent="0.2">
      <c r="A160" t="s">
        <v>7</v>
      </c>
      <c r="B160" t="s">
        <v>1332</v>
      </c>
      <c r="C160" t="s">
        <v>216</v>
      </c>
      <c r="D160" t="s">
        <v>1327</v>
      </c>
      <c r="E160">
        <v>54104</v>
      </c>
      <c r="F160" s="5">
        <v>42156.143541666665</v>
      </c>
      <c r="G160" t="s">
        <v>217</v>
      </c>
      <c r="H160" s="6">
        <v>-2</v>
      </c>
    </row>
    <row r="161" spans="1:8" hidden="1" x14ac:dyDescent="0.2">
      <c r="A161" s="7" t="s">
        <v>7</v>
      </c>
      <c r="B161" s="7"/>
      <c r="C161" s="7" t="s">
        <v>367</v>
      </c>
      <c r="D161" s="7" t="s">
        <v>368</v>
      </c>
      <c r="E161" s="7">
        <v>2</v>
      </c>
      <c r="F161" s="8">
        <v>42080.382326388892</v>
      </c>
      <c r="G161" s="7" t="s">
        <v>369</v>
      </c>
      <c r="H161" s="9">
        <v>0</v>
      </c>
    </row>
    <row r="162" spans="1:8" x14ac:dyDescent="0.2">
      <c r="A162" t="s">
        <v>7</v>
      </c>
      <c r="B162" t="s">
        <v>1332</v>
      </c>
      <c r="C162" t="s">
        <v>346</v>
      </c>
      <c r="D162" t="s">
        <v>347</v>
      </c>
      <c r="E162">
        <v>871149</v>
      </c>
      <c r="F162" s="5">
        <v>42156.163912037038</v>
      </c>
      <c r="G162" t="s">
        <v>347</v>
      </c>
      <c r="H162" s="6">
        <v>-13504</v>
      </c>
    </row>
    <row r="163" spans="1:8" x14ac:dyDescent="0.2">
      <c r="A163" t="s">
        <v>7</v>
      </c>
      <c r="B163" t="s">
        <v>1332</v>
      </c>
      <c r="C163" t="s">
        <v>691</v>
      </c>
      <c r="D163" t="s">
        <v>692</v>
      </c>
      <c r="E163">
        <v>10826</v>
      </c>
      <c r="F163" s="5">
        <v>42534.835370370369</v>
      </c>
      <c r="G163" t="s">
        <v>692</v>
      </c>
      <c r="H163" s="6">
        <v>-99</v>
      </c>
    </row>
    <row r="164" spans="1:8" hidden="1" x14ac:dyDescent="0.2">
      <c r="A164" s="7" t="s">
        <v>7</v>
      </c>
      <c r="B164" s="7"/>
      <c r="C164" s="7" t="s">
        <v>373</v>
      </c>
      <c r="D164" s="7" t="s">
        <v>368</v>
      </c>
      <c r="E164" s="7">
        <v>17472</v>
      </c>
      <c r="F164" s="8">
        <v>42080.382326388892</v>
      </c>
      <c r="G164" s="7" t="s">
        <v>368</v>
      </c>
      <c r="H164" s="9">
        <v>0</v>
      </c>
    </row>
    <row r="165" spans="1:8" hidden="1" x14ac:dyDescent="0.2">
      <c r="A165" s="7" t="s">
        <v>7</v>
      </c>
      <c r="B165" s="7"/>
      <c r="C165" s="7" t="s">
        <v>374</v>
      </c>
      <c r="D165" s="7" t="s">
        <v>368</v>
      </c>
      <c r="E165" s="7">
        <v>379140</v>
      </c>
      <c r="F165" s="8">
        <v>42080.382326388892</v>
      </c>
      <c r="G165" s="7" t="s">
        <v>375</v>
      </c>
      <c r="H165" s="9">
        <v>0</v>
      </c>
    </row>
    <row r="166" spans="1:8" x14ac:dyDescent="0.2">
      <c r="A166" t="s">
        <v>7</v>
      </c>
      <c r="B166" t="s">
        <v>1332</v>
      </c>
      <c r="C166" t="s">
        <v>703</v>
      </c>
      <c r="D166" t="s">
        <v>704</v>
      </c>
      <c r="E166">
        <v>267720</v>
      </c>
      <c r="F166" s="5">
        <v>42314.785613425927</v>
      </c>
      <c r="G166" t="s">
        <v>704</v>
      </c>
      <c r="H166" s="6">
        <v>-3501</v>
      </c>
    </row>
    <row r="167" spans="1:8" x14ac:dyDescent="0.2">
      <c r="A167" t="s">
        <v>7</v>
      </c>
      <c r="B167" t="s">
        <v>1342</v>
      </c>
      <c r="C167" t="s">
        <v>737</v>
      </c>
      <c r="D167" t="s">
        <v>738</v>
      </c>
      <c r="E167">
        <v>16289525</v>
      </c>
      <c r="F167" s="5">
        <v>42156.193287037036</v>
      </c>
      <c r="G167" t="s">
        <v>738</v>
      </c>
      <c r="H167" s="6">
        <v>-186219</v>
      </c>
    </row>
    <row r="168" spans="1:8" s="7" customFormat="1" hidden="1" x14ac:dyDescent="0.2">
      <c r="A168" s="7" t="s">
        <v>7</v>
      </c>
      <c r="C168" s="7" t="s">
        <v>381</v>
      </c>
      <c r="D168" s="7" t="s">
        <v>382</v>
      </c>
      <c r="E168" s="7">
        <v>9517231</v>
      </c>
      <c r="F168" s="8">
        <v>42080.382337962961</v>
      </c>
      <c r="G168" s="7" t="s">
        <v>383</v>
      </c>
      <c r="H168" s="9">
        <v>-260931</v>
      </c>
    </row>
    <row r="169" spans="1:8" hidden="1" x14ac:dyDescent="0.2">
      <c r="A169" s="7" t="s">
        <v>7</v>
      </c>
      <c r="B169" s="7"/>
      <c r="C169" s="7" t="s">
        <v>384</v>
      </c>
      <c r="D169" s="7" t="s">
        <v>382</v>
      </c>
      <c r="E169" s="7">
        <v>548</v>
      </c>
      <c r="F169" s="8">
        <v>42614.858043981483</v>
      </c>
      <c r="G169" s="7" t="s">
        <v>382</v>
      </c>
      <c r="H169" s="9">
        <v>0</v>
      </c>
    </row>
    <row r="170" spans="1:8" hidden="1" x14ac:dyDescent="0.2">
      <c r="A170" s="7" t="s">
        <v>7</v>
      </c>
      <c r="B170" s="7"/>
      <c r="C170" s="7" t="s">
        <v>385</v>
      </c>
      <c r="D170" s="7" t="s">
        <v>382</v>
      </c>
      <c r="E170" s="7">
        <v>854</v>
      </c>
      <c r="F170" s="8">
        <v>42614.956597222219</v>
      </c>
      <c r="G170" s="7" t="s">
        <v>382</v>
      </c>
      <c r="H170" s="9">
        <v>0</v>
      </c>
    </row>
    <row r="171" spans="1:8" s="7" customFormat="1" hidden="1" x14ac:dyDescent="0.2">
      <c r="A171" s="7" t="s">
        <v>7</v>
      </c>
      <c r="C171" s="7" t="s">
        <v>386</v>
      </c>
      <c r="D171" s="7" t="s">
        <v>368</v>
      </c>
      <c r="E171" s="7">
        <v>5292</v>
      </c>
      <c r="F171" s="8">
        <v>42080.382337962961</v>
      </c>
      <c r="G171" s="7" t="s">
        <v>368</v>
      </c>
      <c r="H171" s="9">
        <v>0</v>
      </c>
    </row>
    <row r="172" spans="1:8" x14ac:dyDescent="0.2">
      <c r="A172" t="s">
        <v>7</v>
      </c>
      <c r="B172" t="s">
        <v>1342</v>
      </c>
      <c r="C172" t="s">
        <v>773</v>
      </c>
      <c r="D172" t="s">
        <v>774</v>
      </c>
      <c r="E172">
        <v>151815</v>
      </c>
      <c r="F172" s="5">
        <v>42431.532361111109</v>
      </c>
      <c r="G172" t="s">
        <v>774</v>
      </c>
      <c r="H172" s="6">
        <v>-9504</v>
      </c>
    </row>
    <row r="173" spans="1:8" x14ac:dyDescent="0.2">
      <c r="A173" t="s">
        <v>7</v>
      </c>
      <c r="B173" t="s">
        <v>1380</v>
      </c>
      <c r="C173" t="s">
        <v>753</v>
      </c>
      <c r="D173" t="s">
        <v>754</v>
      </c>
      <c r="E173">
        <v>1701833</v>
      </c>
      <c r="F173" s="5">
        <v>42080.382511574076</v>
      </c>
      <c r="G173" t="s">
        <v>755</v>
      </c>
      <c r="H173" s="6">
        <v>-10761</v>
      </c>
    </row>
    <row r="174" spans="1:8" x14ac:dyDescent="0.2">
      <c r="A174" t="s">
        <v>7</v>
      </c>
      <c r="B174" t="s">
        <v>1380</v>
      </c>
      <c r="C174" t="s">
        <v>758</v>
      </c>
      <c r="D174" t="s">
        <v>759</v>
      </c>
      <c r="E174">
        <v>1662537</v>
      </c>
      <c r="F174" s="5">
        <v>42201.47216435185</v>
      </c>
      <c r="G174" t="s">
        <v>759</v>
      </c>
      <c r="H174" s="6">
        <v>-10297</v>
      </c>
    </row>
    <row r="175" spans="1:8" s="7" customFormat="1" hidden="1" x14ac:dyDescent="0.2">
      <c r="A175" s="7" t="s">
        <v>7</v>
      </c>
      <c r="C175" s="7" t="s">
        <v>399</v>
      </c>
      <c r="D175" s="7" t="s">
        <v>400</v>
      </c>
      <c r="E175" s="7">
        <v>2216</v>
      </c>
      <c r="F175" s="8">
        <v>42080.382337962961</v>
      </c>
      <c r="G175" s="7" t="s">
        <v>401</v>
      </c>
      <c r="H175" s="9">
        <v>0</v>
      </c>
    </row>
    <row r="176" spans="1:8" hidden="1" x14ac:dyDescent="0.2">
      <c r="A176" s="7" t="s">
        <v>7</v>
      </c>
      <c r="B176" s="7"/>
      <c r="C176" s="7" t="s">
        <v>402</v>
      </c>
      <c r="D176" s="7" t="s">
        <v>403</v>
      </c>
      <c r="E176" s="7">
        <v>490383</v>
      </c>
      <c r="F176" s="8">
        <v>42599.767800925925</v>
      </c>
      <c r="G176" s="7" t="s">
        <v>403</v>
      </c>
      <c r="H176" s="9">
        <v>-3079</v>
      </c>
    </row>
    <row r="177" spans="1:8" hidden="1" x14ac:dyDescent="0.2">
      <c r="A177" s="7" t="s">
        <v>7</v>
      </c>
      <c r="B177" s="7"/>
      <c r="C177" s="7" t="s">
        <v>404</v>
      </c>
      <c r="D177" s="7" t="s">
        <v>405</v>
      </c>
      <c r="E177" s="7">
        <v>706</v>
      </c>
      <c r="F177" s="8">
        <v>42212.777592592596</v>
      </c>
      <c r="G177" s="7" t="s">
        <v>405</v>
      </c>
      <c r="H177" s="9">
        <v>-13</v>
      </c>
    </row>
    <row r="178" spans="1:8" hidden="1" x14ac:dyDescent="0.2">
      <c r="A178" s="7" t="s">
        <v>7</v>
      </c>
      <c r="B178" s="7"/>
      <c r="C178" s="7" t="s">
        <v>406</v>
      </c>
      <c r="D178" s="7" t="s">
        <v>407</v>
      </c>
      <c r="E178" s="7">
        <v>13</v>
      </c>
      <c r="F178" s="8">
        <v>42240.612893518519</v>
      </c>
      <c r="G178" s="7" t="s">
        <v>407</v>
      </c>
      <c r="H178" s="9">
        <v>0</v>
      </c>
    </row>
    <row r="179" spans="1:8" hidden="1" x14ac:dyDescent="0.2">
      <c r="A179" s="7" t="s">
        <v>7</v>
      </c>
      <c r="B179" s="7"/>
      <c r="C179" s="7" t="s">
        <v>408</v>
      </c>
      <c r="D179" s="7" t="s">
        <v>409</v>
      </c>
      <c r="E179" s="7">
        <v>75</v>
      </c>
      <c r="F179" s="8">
        <v>42304.662060185183</v>
      </c>
      <c r="G179" s="7" t="s">
        <v>409</v>
      </c>
      <c r="H179" s="9">
        <v>0</v>
      </c>
    </row>
    <row r="180" spans="1:8" hidden="1" x14ac:dyDescent="0.2">
      <c r="A180" s="7" t="s">
        <v>7</v>
      </c>
      <c r="B180" s="7"/>
      <c r="C180" s="7" t="s">
        <v>410</v>
      </c>
      <c r="D180" s="7" t="s">
        <v>411</v>
      </c>
      <c r="E180" s="7">
        <v>21</v>
      </c>
      <c r="F180" s="8">
        <v>42221.653275462966</v>
      </c>
      <c r="G180" s="7" t="s">
        <v>411</v>
      </c>
      <c r="H180" s="9">
        <v>0</v>
      </c>
    </row>
    <row r="181" spans="1:8" x14ac:dyDescent="0.2">
      <c r="A181" t="s">
        <v>7</v>
      </c>
      <c r="B181" t="s">
        <v>1354</v>
      </c>
      <c r="C181" t="s">
        <v>204</v>
      </c>
      <c r="D181" t="s">
        <v>205</v>
      </c>
      <c r="E181">
        <v>155254</v>
      </c>
      <c r="F181" s="5">
        <v>42156.143159722225</v>
      </c>
      <c r="G181" t="s">
        <v>205</v>
      </c>
      <c r="H181" s="6">
        <v>0</v>
      </c>
    </row>
    <row r="182" spans="1:8" hidden="1" x14ac:dyDescent="0.2">
      <c r="A182" s="7" t="s">
        <v>7</v>
      </c>
      <c r="B182" s="7"/>
      <c r="C182" s="7" t="s">
        <v>416</v>
      </c>
      <c r="D182" s="7" t="s">
        <v>417</v>
      </c>
      <c r="E182" s="7">
        <v>447984</v>
      </c>
      <c r="F182" s="8">
        <v>42632.655462962961</v>
      </c>
      <c r="G182" s="7" t="s">
        <v>417</v>
      </c>
      <c r="H182" s="9">
        <v>0</v>
      </c>
    </row>
    <row r="183" spans="1:8" x14ac:dyDescent="0.2">
      <c r="A183" t="s">
        <v>7</v>
      </c>
      <c r="B183" t="s">
        <v>1337</v>
      </c>
      <c r="C183" t="s">
        <v>256</v>
      </c>
      <c r="D183" t="s">
        <v>257</v>
      </c>
      <c r="E183">
        <v>908477</v>
      </c>
      <c r="F183" s="5">
        <v>42080.382291666669</v>
      </c>
      <c r="G183" t="s">
        <v>258</v>
      </c>
      <c r="H183" s="6">
        <v>-23867</v>
      </c>
    </row>
    <row r="184" spans="1:8" hidden="1" x14ac:dyDescent="0.2">
      <c r="A184" s="7" t="s">
        <v>7</v>
      </c>
      <c r="B184" s="7"/>
      <c r="C184" s="7" t="s">
        <v>421</v>
      </c>
      <c r="D184" s="7" t="s">
        <v>419</v>
      </c>
      <c r="E184" s="7">
        <v>2420134</v>
      </c>
      <c r="F184" s="8">
        <v>42326.969444444447</v>
      </c>
      <c r="G184" s="7" t="s">
        <v>419</v>
      </c>
      <c r="H184" s="9">
        <v>0</v>
      </c>
    </row>
    <row r="185" spans="1:8" hidden="1" x14ac:dyDescent="0.2">
      <c r="A185" s="7" t="s">
        <v>7</v>
      </c>
      <c r="B185" s="7"/>
      <c r="C185" s="7" t="s">
        <v>422</v>
      </c>
      <c r="D185" s="7" t="s">
        <v>419</v>
      </c>
      <c r="E185" s="7">
        <v>2625767</v>
      </c>
      <c r="F185" s="8">
        <v>42336.91443287037</v>
      </c>
      <c r="G185" s="7" t="s">
        <v>419</v>
      </c>
      <c r="H185" s="9">
        <v>0</v>
      </c>
    </row>
    <row r="186" spans="1:8" hidden="1" x14ac:dyDescent="0.2">
      <c r="A186" s="7" t="s">
        <v>7</v>
      </c>
      <c r="B186" s="7"/>
      <c r="C186" s="7" t="s">
        <v>423</v>
      </c>
      <c r="D186" s="7" t="s">
        <v>38</v>
      </c>
      <c r="E186" s="7">
        <v>2</v>
      </c>
      <c r="F186" s="8">
        <v>42326.969444444447</v>
      </c>
      <c r="G186" s="7" t="s">
        <v>38</v>
      </c>
      <c r="H186" s="9">
        <v>0</v>
      </c>
    </row>
    <row r="187" spans="1:8" x14ac:dyDescent="0.2">
      <c r="A187" t="s">
        <v>7</v>
      </c>
      <c r="B187" t="s">
        <v>1337</v>
      </c>
      <c r="C187" t="s">
        <v>522</v>
      </c>
      <c r="D187" t="s">
        <v>523</v>
      </c>
      <c r="E187">
        <v>733599</v>
      </c>
      <c r="F187" s="5">
        <v>42171.620266203703</v>
      </c>
      <c r="G187" t="s">
        <v>523</v>
      </c>
      <c r="H187" s="6">
        <v>-1622</v>
      </c>
    </row>
    <row r="188" spans="1:8" x14ac:dyDescent="0.2">
      <c r="A188" t="s">
        <v>7</v>
      </c>
      <c r="B188" t="s">
        <v>1337</v>
      </c>
      <c r="C188" t="s">
        <v>529</v>
      </c>
      <c r="D188" t="s">
        <v>530</v>
      </c>
      <c r="E188">
        <v>1072552</v>
      </c>
      <c r="F188" s="5">
        <v>42080.382453703707</v>
      </c>
      <c r="G188" t="s">
        <v>531</v>
      </c>
      <c r="H188" s="6">
        <v>-17114</v>
      </c>
    </row>
    <row r="189" spans="1:8" x14ac:dyDescent="0.2">
      <c r="A189" t="s">
        <v>7</v>
      </c>
      <c r="B189" t="s">
        <v>1338</v>
      </c>
      <c r="C189" t="s">
        <v>532</v>
      </c>
      <c r="D189" t="s">
        <v>533</v>
      </c>
      <c r="E189">
        <v>632468</v>
      </c>
      <c r="F189" s="5">
        <v>42508.598877314813</v>
      </c>
      <c r="G189" t="s">
        <v>533</v>
      </c>
      <c r="H189" s="6">
        <v>-36787</v>
      </c>
    </row>
    <row r="190" spans="1:8" hidden="1" x14ac:dyDescent="0.2">
      <c r="A190" s="7" t="s">
        <v>7</v>
      </c>
      <c r="B190" s="7"/>
      <c r="C190" s="7" t="s">
        <v>432</v>
      </c>
      <c r="D190" s="7" t="s">
        <v>433</v>
      </c>
      <c r="E190" s="7">
        <v>7</v>
      </c>
      <c r="F190" s="8">
        <v>42156.182013888887</v>
      </c>
      <c r="G190" s="7" t="s">
        <v>433</v>
      </c>
      <c r="H190" s="9">
        <v>0</v>
      </c>
    </row>
    <row r="191" spans="1:8" x14ac:dyDescent="0.2">
      <c r="A191" t="s">
        <v>7</v>
      </c>
      <c r="B191" t="s">
        <v>1337</v>
      </c>
      <c r="C191" t="s">
        <v>540</v>
      </c>
      <c r="D191" t="s">
        <v>541</v>
      </c>
      <c r="E191">
        <v>3573231</v>
      </c>
      <c r="F191" s="5">
        <v>42207.675162037034</v>
      </c>
      <c r="G191" t="s">
        <v>541</v>
      </c>
      <c r="H191" s="6">
        <v>-43113</v>
      </c>
    </row>
    <row r="192" spans="1:8" hidden="1" x14ac:dyDescent="0.2">
      <c r="A192" s="7" t="s">
        <v>7</v>
      </c>
      <c r="B192" s="7"/>
      <c r="C192" s="7" t="s">
        <v>437</v>
      </c>
      <c r="D192" s="7" t="s">
        <v>438</v>
      </c>
      <c r="E192" s="7">
        <v>36</v>
      </c>
      <c r="F192" s="8">
        <v>42352.881203703706</v>
      </c>
      <c r="G192" s="7" t="s">
        <v>438</v>
      </c>
      <c r="H192" s="9">
        <v>0</v>
      </c>
    </row>
    <row r="193" spans="1:8" x14ac:dyDescent="0.2">
      <c r="A193" t="s">
        <v>7</v>
      </c>
      <c r="B193" t="s">
        <v>1338</v>
      </c>
      <c r="C193" t="s">
        <v>613</v>
      </c>
      <c r="D193" t="s">
        <v>614</v>
      </c>
      <c r="E193">
        <v>160097</v>
      </c>
      <c r="F193" s="5">
        <v>42199.453923611109</v>
      </c>
      <c r="G193" t="s">
        <v>614</v>
      </c>
      <c r="H193" s="6">
        <v>-6177</v>
      </c>
    </row>
    <row r="194" spans="1:8" hidden="1" x14ac:dyDescent="0.2">
      <c r="A194" s="7" t="s">
        <v>7</v>
      </c>
      <c r="B194" s="7"/>
      <c r="C194" s="7" t="s">
        <v>442</v>
      </c>
      <c r="D194" s="7" t="s">
        <v>443</v>
      </c>
      <c r="E194" s="7">
        <v>10</v>
      </c>
      <c r="F194" s="8">
        <v>42156.182013888887</v>
      </c>
      <c r="G194" s="7" t="s">
        <v>443</v>
      </c>
      <c r="H194" s="9">
        <v>0</v>
      </c>
    </row>
    <row r="195" spans="1:8" hidden="1" x14ac:dyDescent="0.2">
      <c r="A195" s="7" t="s">
        <v>7</v>
      </c>
      <c r="B195" s="7"/>
      <c r="C195" s="7" t="s">
        <v>444</v>
      </c>
      <c r="D195" s="7" t="s">
        <v>38</v>
      </c>
      <c r="E195" s="7">
        <v>1090</v>
      </c>
      <c r="F195" s="8">
        <v>42381.761747685188</v>
      </c>
      <c r="G195" s="7" t="s">
        <v>38</v>
      </c>
      <c r="H195" s="9">
        <v>0</v>
      </c>
    </row>
    <row r="196" spans="1:8" x14ac:dyDescent="0.2">
      <c r="A196" t="s">
        <v>7</v>
      </c>
      <c r="B196" t="s">
        <v>1338</v>
      </c>
      <c r="C196" t="s">
        <v>716</v>
      </c>
      <c r="D196" t="s">
        <v>717</v>
      </c>
      <c r="E196">
        <v>1106110</v>
      </c>
      <c r="F196" s="5">
        <v>42156.193055555559</v>
      </c>
      <c r="G196" t="s">
        <v>717</v>
      </c>
      <c r="H196" s="6">
        <v>-13313</v>
      </c>
    </row>
    <row r="197" spans="1:8" s="7" customFormat="1" hidden="1" x14ac:dyDescent="0.2">
      <c r="A197" s="7" t="s">
        <v>7</v>
      </c>
      <c r="C197" s="7" t="s">
        <v>447</v>
      </c>
      <c r="D197" s="7" t="s">
        <v>38</v>
      </c>
      <c r="E197" s="7">
        <v>255</v>
      </c>
      <c r="F197" s="8">
        <v>42381.761747685188</v>
      </c>
      <c r="G197" s="7" t="s">
        <v>38</v>
      </c>
      <c r="H197" s="9">
        <v>-5</v>
      </c>
    </row>
    <row r="198" spans="1:8" x14ac:dyDescent="0.2">
      <c r="A198" t="s">
        <v>7</v>
      </c>
      <c r="B198" t="s">
        <v>1338</v>
      </c>
      <c r="C198" t="s">
        <v>718</v>
      </c>
      <c r="D198" t="s">
        <v>719</v>
      </c>
      <c r="E198">
        <v>1612332</v>
      </c>
      <c r="F198" s="5">
        <v>42156.193090277775</v>
      </c>
      <c r="G198" t="s">
        <v>719</v>
      </c>
      <c r="H198" s="6">
        <v>-15838</v>
      </c>
    </row>
    <row r="199" spans="1:8" s="7" customFormat="1" hidden="1" x14ac:dyDescent="0.2">
      <c r="A199" s="7" t="s">
        <v>7</v>
      </c>
      <c r="C199" s="7" t="s">
        <v>450</v>
      </c>
      <c r="D199" s="7" t="s">
        <v>168</v>
      </c>
      <c r="E199" s="7">
        <v>36414</v>
      </c>
      <c r="F199" s="8">
        <v>42080.382372685184</v>
      </c>
      <c r="G199" s="7" t="s">
        <v>451</v>
      </c>
      <c r="H199" s="9">
        <v>0</v>
      </c>
    </row>
    <row r="200" spans="1:8" hidden="1" x14ac:dyDescent="0.2">
      <c r="A200" s="7" t="s">
        <v>7</v>
      </c>
      <c r="B200" s="7"/>
      <c r="C200" s="7" t="s">
        <v>452</v>
      </c>
      <c r="D200" s="7" t="s">
        <v>453</v>
      </c>
      <c r="E200" s="7">
        <v>1</v>
      </c>
      <c r="F200" s="8">
        <v>42080.382372685184</v>
      </c>
      <c r="G200" s="7" t="s">
        <v>454</v>
      </c>
      <c r="H200" s="9">
        <v>0</v>
      </c>
    </row>
    <row r="201" spans="1:8" x14ac:dyDescent="0.2">
      <c r="A201" t="s">
        <v>7</v>
      </c>
      <c r="B201" t="s">
        <v>1337</v>
      </c>
      <c r="C201" t="s">
        <v>776</v>
      </c>
      <c r="D201" t="s">
        <v>777</v>
      </c>
      <c r="E201">
        <v>307521</v>
      </c>
      <c r="F201" s="5">
        <v>42156.19394675926</v>
      </c>
      <c r="G201" t="s">
        <v>777</v>
      </c>
      <c r="H201" s="6">
        <v>-1333</v>
      </c>
    </row>
    <row r="202" spans="1:8" s="7" customFormat="1" hidden="1" x14ac:dyDescent="0.2">
      <c r="A202" s="7" t="s">
        <v>7</v>
      </c>
      <c r="C202" s="7" t="s">
        <v>458</v>
      </c>
      <c r="D202" s="7" t="s">
        <v>38</v>
      </c>
      <c r="E202" s="7">
        <v>145</v>
      </c>
      <c r="F202" s="8">
        <v>42212.651076388887</v>
      </c>
      <c r="G202" s="7" t="s">
        <v>38</v>
      </c>
      <c r="H202" s="9">
        <v>0</v>
      </c>
    </row>
    <row r="203" spans="1:8" x14ac:dyDescent="0.2">
      <c r="A203" t="s">
        <v>7</v>
      </c>
      <c r="B203" t="s">
        <v>1337</v>
      </c>
      <c r="C203" t="s">
        <v>739</v>
      </c>
      <c r="D203" t="s">
        <v>740</v>
      </c>
      <c r="E203">
        <v>142213</v>
      </c>
      <c r="F203" s="5">
        <v>42615.754386574074</v>
      </c>
      <c r="G203" t="s">
        <v>740</v>
      </c>
      <c r="H203" s="6">
        <v>-3525</v>
      </c>
    </row>
    <row r="204" spans="1:8" s="7" customFormat="1" hidden="1" x14ac:dyDescent="0.2">
      <c r="A204" s="7" t="s">
        <v>7</v>
      </c>
      <c r="C204" s="7" t="s">
        <v>462</v>
      </c>
      <c r="D204" s="7" t="s">
        <v>463</v>
      </c>
      <c r="E204" s="7">
        <v>152</v>
      </c>
      <c r="F204" s="8">
        <v>42269.809270833335</v>
      </c>
      <c r="G204" s="7" t="s">
        <v>463</v>
      </c>
      <c r="H204" s="9">
        <v>0</v>
      </c>
    </row>
    <row r="205" spans="1:8" s="7" customFormat="1" hidden="1" x14ac:dyDescent="0.2">
      <c r="A205" s="7" t="s">
        <v>7</v>
      </c>
      <c r="C205" s="7" t="s">
        <v>464</v>
      </c>
      <c r="D205" s="7" t="s">
        <v>465</v>
      </c>
      <c r="E205" s="7">
        <v>330450</v>
      </c>
      <c r="F205" s="8">
        <v>42451.829039351855</v>
      </c>
      <c r="G205" s="7" t="s">
        <v>465</v>
      </c>
      <c r="H205" s="9">
        <v>0</v>
      </c>
    </row>
    <row r="206" spans="1:8" s="7" customFormat="1" hidden="1" x14ac:dyDescent="0.2">
      <c r="A206" s="7" t="s">
        <v>7</v>
      </c>
      <c r="C206" s="7" t="s">
        <v>466</v>
      </c>
      <c r="D206" s="7" t="s">
        <v>467</v>
      </c>
      <c r="E206" s="7">
        <v>396</v>
      </c>
      <c r="F206" s="8">
        <v>42080.382384259261</v>
      </c>
      <c r="G206" s="7" t="s">
        <v>468</v>
      </c>
      <c r="H206" s="9">
        <v>0</v>
      </c>
    </row>
    <row r="207" spans="1:8" s="7" customFormat="1" hidden="1" x14ac:dyDescent="0.2">
      <c r="A207" s="7" t="s">
        <v>7</v>
      </c>
      <c r="C207" s="7" t="s">
        <v>469</v>
      </c>
      <c r="D207" s="7" t="s">
        <v>470</v>
      </c>
      <c r="E207" s="7">
        <v>73</v>
      </c>
      <c r="F207" s="8">
        <v>42080.382384259261</v>
      </c>
      <c r="G207" s="7" t="s">
        <v>471</v>
      </c>
      <c r="H207" s="9">
        <v>0</v>
      </c>
    </row>
    <row r="208" spans="1:8" s="7" customFormat="1" hidden="1" x14ac:dyDescent="0.2">
      <c r="A208" s="7" t="s">
        <v>7</v>
      </c>
      <c r="C208" s="7" t="s">
        <v>472</v>
      </c>
      <c r="D208" s="7" t="s">
        <v>473</v>
      </c>
      <c r="E208" s="7">
        <v>531</v>
      </c>
      <c r="F208" s="8">
        <v>42348.610671296294</v>
      </c>
      <c r="G208" s="7" t="s">
        <v>473</v>
      </c>
      <c r="H208" s="9">
        <v>0</v>
      </c>
    </row>
    <row r="209" spans="1:8" x14ac:dyDescent="0.2">
      <c r="A209" t="s">
        <v>7</v>
      </c>
      <c r="B209" t="s">
        <v>1337</v>
      </c>
      <c r="C209" t="s">
        <v>741</v>
      </c>
      <c r="D209" t="s">
        <v>742</v>
      </c>
      <c r="E209">
        <v>1061618</v>
      </c>
      <c r="F209" s="5">
        <v>42156.193460648145</v>
      </c>
      <c r="G209" t="s">
        <v>742</v>
      </c>
      <c r="H209" s="6">
        <v>-12086</v>
      </c>
    </row>
    <row r="210" spans="1:8" x14ac:dyDescent="0.2">
      <c r="A210" t="s">
        <v>7</v>
      </c>
      <c r="B210" t="s">
        <v>1346</v>
      </c>
      <c r="C210" t="s">
        <v>885</v>
      </c>
      <c r="D210" t="s">
        <v>886</v>
      </c>
      <c r="E210">
        <v>1172748</v>
      </c>
      <c r="F210" s="5">
        <v>42156.20511574074</v>
      </c>
      <c r="G210" t="s">
        <v>886</v>
      </c>
      <c r="H210" s="6">
        <v>-20465</v>
      </c>
    </row>
    <row r="211" spans="1:8" x14ac:dyDescent="0.2">
      <c r="A211" t="s">
        <v>7</v>
      </c>
      <c r="B211" t="s">
        <v>1346</v>
      </c>
      <c r="C211" t="s">
        <v>887</v>
      </c>
      <c r="D211" t="s">
        <v>888</v>
      </c>
      <c r="E211">
        <v>196</v>
      </c>
      <c r="F211" s="5">
        <v>42585.740624999999</v>
      </c>
      <c r="G211" t="s">
        <v>888</v>
      </c>
      <c r="H211" s="6">
        <v>-7</v>
      </c>
    </row>
    <row r="212" spans="1:8" x14ac:dyDescent="0.2">
      <c r="A212" t="s">
        <v>7</v>
      </c>
      <c r="B212" t="s">
        <v>1382</v>
      </c>
      <c r="C212" t="s">
        <v>359</v>
      </c>
      <c r="D212" t="s">
        <v>360</v>
      </c>
      <c r="E212">
        <v>310</v>
      </c>
      <c r="F212" s="5">
        <v>42269.809525462966</v>
      </c>
      <c r="G212" t="s">
        <v>360</v>
      </c>
      <c r="H212" s="6">
        <v>-5</v>
      </c>
    </row>
    <row r="213" spans="1:8" x14ac:dyDescent="0.2">
      <c r="A213" t="s">
        <v>7</v>
      </c>
      <c r="B213" t="s">
        <v>1361</v>
      </c>
      <c r="C213" t="s">
        <v>370</v>
      </c>
      <c r="D213" t="s">
        <v>38</v>
      </c>
      <c r="E213">
        <v>2847</v>
      </c>
      <c r="F213" s="5">
        <v>42537.835694444446</v>
      </c>
      <c r="G213" t="s">
        <v>38</v>
      </c>
      <c r="H213" s="6">
        <v>-64</v>
      </c>
    </row>
    <row r="214" spans="1:8" s="7" customFormat="1" hidden="1" x14ac:dyDescent="0.2">
      <c r="A214" s="7" t="s">
        <v>7</v>
      </c>
      <c r="C214" s="7" t="s">
        <v>485</v>
      </c>
      <c r="D214" s="7" t="s">
        <v>486</v>
      </c>
      <c r="E214" s="7">
        <v>19</v>
      </c>
      <c r="F214" s="8">
        <v>42620.439062500001</v>
      </c>
      <c r="G214" s="7" t="s">
        <v>486</v>
      </c>
      <c r="H214" s="9">
        <v>-2</v>
      </c>
    </row>
    <row r="215" spans="1:8" x14ac:dyDescent="0.2">
      <c r="A215" t="s">
        <v>7</v>
      </c>
      <c r="B215" t="s">
        <v>1361</v>
      </c>
      <c r="C215" t="s">
        <v>391</v>
      </c>
      <c r="D215" t="s">
        <v>392</v>
      </c>
      <c r="E215">
        <v>4294186</v>
      </c>
      <c r="F215" s="5">
        <v>42089.672199074077</v>
      </c>
      <c r="G215" t="s">
        <v>392</v>
      </c>
      <c r="H215" s="6">
        <v>-126704</v>
      </c>
    </row>
    <row r="216" spans="1:8" x14ac:dyDescent="0.2">
      <c r="A216" t="s">
        <v>7</v>
      </c>
      <c r="B216" t="s">
        <v>1361</v>
      </c>
      <c r="C216" t="s">
        <v>434</v>
      </c>
      <c r="D216" t="s">
        <v>435</v>
      </c>
      <c r="E216">
        <v>4677</v>
      </c>
      <c r="F216" s="5">
        <v>42087.714513888888</v>
      </c>
      <c r="G216" t="s">
        <v>436</v>
      </c>
      <c r="H216" s="6">
        <v>-87</v>
      </c>
    </row>
    <row r="217" spans="1:8" x14ac:dyDescent="0.2">
      <c r="A217" t="s">
        <v>7</v>
      </c>
      <c r="B217" t="s">
        <v>1384</v>
      </c>
      <c r="C217" t="s">
        <v>439</v>
      </c>
      <c r="D217" t="s">
        <v>440</v>
      </c>
      <c r="E217">
        <v>12</v>
      </c>
      <c r="F217" s="5">
        <v>42080.382372685184</v>
      </c>
      <c r="G217" t="s">
        <v>441</v>
      </c>
      <c r="H217" s="6">
        <v>0</v>
      </c>
    </row>
    <row r="218" spans="1:8" s="7" customFormat="1" hidden="1" x14ac:dyDescent="0.2">
      <c r="A218" s="7" t="s">
        <v>7</v>
      </c>
      <c r="C218" s="7" t="s">
        <v>495</v>
      </c>
      <c r="D218" s="7" t="s">
        <v>496</v>
      </c>
      <c r="E218" s="7">
        <v>35</v>
      </c>
      <c r="F218" s="8">
        <v>42080.382384259261</v>
      </c>
      <c r="G218" s="7" t="s">
        <v>497</v>
      </c>
      <c r="H218" s="9">
        <v>0</v>
      </c>
    </row>
    <row r="219" spans="1:8" hidden="1" x14ac:dyDescent="0.2">
      <c r="A219" s="7" t="s">
        <v>7</v>
      </c>
      <c r="B219" s="7"/>
      <c r="C219" s="7" t="s">
        <v>498</v>
      </c>
      <c r="D219" s="7" t="s">
        <v>499</v>
      </c>
      <c r="E219" s="7">
        <v>6</v>
      </c>
      <c r="F219" s="8">
        <v>42169.408391203702</v>
      </c>
      <c r="G219" s="7" t="s">
        <v>499</v>
      </c>
      <c r="H219" s="9">
        <v>0</v>
      </c>
    </row>
    <row r="220" spans="1:8" s="7" customFormat="1" hidden="1" x14ac:dyDescent="0.2">
      <c r="A220" s="7" t="s">
        <v>7</v>
      </c>
      <c r="C220" s="7" t="s">
        <v>500</v>
      </c>
      <c r="D220" s="7" t="s">
        <v>501</v>
      </c>
      <c r="E220" s="7">
        <v>50320304</v>
      </c>
      <c r="F220" s="8">
        <v>42337.995057870372</v>
      </c>
      <c r="G220" s="7" t="s">
        <v>501</v>
      </c>
      <c r="H220" s="9">
        <v>-1029141</v>
      </c>
    </row>
    <row r="221" spans="1:8" s="7" customFormat="1" hidden="1" x14ac:dyDescent="0.2">
      <c r="A221" s="7" t="s">
        <v>7</v>
      </c>
      <c r="C221" s="7" t="s">
        <v>502</v>
      </c>
      <c r="D221" s="7" t="s">
        <v>503</v>
      </c>
      <c r="E221" s="7">
        <v>21359474</v>
      </c>
      <c r="F221" s="8">
        <v>42584.6328587963</v>
      </c>
      <c r="G221" s="7" t="s">
        <v>503</v>
      </c>
      <c r="H221" s="9">
        <v>-1023838</v>
      </c>
    </row>
    <row r="222" spans="1:8" s="7" customFormat="1" hidden="1" x14ac:dyDescent="0.2">
      <c r="A222" s="7" t="s">
        <v>7</v>
      </c>
      <c r="C222" s="7" t="s">
        <v>504</v>
      </c>
      <c r="D222" s="7" t="s">
        <v>505</v>
      </c>
      <c r="E222" s="7">
        <v>598141</v>
      </c>
      <c r="F222" s="8">
        <v>42326.969444444447</v>
      </c>
      <c r="G222" s="7" t="s">
        <v>505</v>
      </c>
      <c r="H222" s="9">
        <v>-5320</v>
      </c>
    </row>
    <row r="223" spans="1:8" s="7" customFormat="1" hidden="1" x14ac:dyDescent="0.2">
      <c r="A223" s="7" t="s">
        <v>7</v>
      </c>
      <c r="C223" s="7" t="s">
        <v>506</v>
      </c>
      <c r="D223" s="7" t="s">
        <v>507</v>
      </c>
      <c r="E223" s="7">
        <v>297049</v>
      </c>
      <c r="F223" s="8">
        <v>42632.735381944447</v>
      </c>
      <c r="G223" s="7" t="s">
        <v>507</v>
      </c>
      <c r="H223" s="9">
        <v>0</v>
      </c>
    </row>
    <row r="224" spans="1:8" s="7" customFormat="1" hidden="1" x14ac:dyDescent="0.2">
      <c r="A224" s="7" t="s">
        <v>7</v>
      </c>
      <c r="C224" s="7" t="s">
        <v>508</v>
      </c>
      <c r="D224" s="7" t="s">
        <v>38</v>
      </c>
      <c r="E224" s="7">
        <v>1003</v>
      </c>
      <c r="F224" s="8">
        <v>42145.576053240744</v>
      </c>
      <c r="G224" s="7" t="s">
        <v>38</v>
      </c>
      <c r="H224" s="9">
        <v>0</v>
      </c>
    </row>
    <row r="225" spans="1:8" s="7" customFormat="1" hidden="1" x14ac:dyDescent="0.2">
      <c r="A225" s="7" t="s">
        <v>7</v>
      </c>
      <c r="C225" s="7" t="s">
        <v>509</v>
      </c>
      <c r="D225" s="7" t="s">
        <v>510</v>
      </c>
      <c r="E225" s="7">
        <v>27126</v>
      </c>
      <c r="F225" s="8">
        <v>42389.640393518515</v>
      </c>
      <c r="G225" s="7" t="s">
        <v>510</v>
      </c>
      <c r="H225" s="9">
        <v>0</v>
      </c>
    </row>
    <row r="226" spans="1:8" hidden="1" x14ac:dyDescent="0.2">
      <c r="A226" s="7" t="s">
        <v>7</v>
      </c>
      <c r="B226" s="7"/>
      <c r="C226" s="7" t="s">
        <v>513</v>
      </c>
      <c r="D226" s="7" t="s">
        <v>38</v>
      </c>
      <c r="E226" s="7">
        <v>4</v>
      </c>
      <c r="F226" s="8">
        <v>42620.778113425928</v>
      </c>
      <c r="G226" s="7" t="s">
        <v>38</v>
      </c>
      <c r="H226" s="9">
        <v>0</v>
      </c>
    </row>
    <row r="227" spans="1:8" s="7" customFormat="1" hidden="1" x14ac:dyDescent="0.2">
      <c r="A227" s="7" t="s">
        <v>7</v>
      </c>
      <c r="C227" s="7" t="s">
        <v>516</v>
      </c>
      <c r="D227" s="7" t="s">
        <v>517</v>
      </c>
      <c r="E227" s="7">
        <v>33</v>
      </c>
      <c r="F227" s="8">
        <v>42156.182256944441</v>
      </c>
      <c r="G227" s="7" t="s">
        <v>517</v>
      </c>
      <c r="H227" s="9">
        <v>0</v>
      </c>
    </row>
    <row r="228" spans="1:8" s="7" customFormat="1" hidden="1" x14ac:dyDescent="0.2">
      <c r="A228" s="7" t="s">
        <v>7</v>
      </c>
      <c r="C228" s="7" t="s">
        <v>518</v>
      </c>
      <c r="D228" s="7" t="s">
        <v>519</v>
      </c>
      <c r="E228" s="7">
        <v>266</v>
      </c>
      <c r="F228" s="8">
        <v>42178.71980324074</v>
      </c>
      <c r="G228" s="7" t="s">
        <v>519</v>
      </c>
      <c r="H228" s="9">
        <v>20</v>
      </c>
    </row>
    <row r="229" spans="1:8" s="7" customFormat="1" hidden="1" x14ac:dyDescent="0.2">
      <c r="A229" s="7" t="s">
        <v>7</v>
      </c>
      <c r="C229" s="7" t="s">
        <v>520</v>
      </c>
      <c r="D229" s="7" t="s">
        <v>521</v>
      </c>
      <c r="E229" s="7">
        <v>16</v>
      </c>
      <c r="F229" s="8">
        <v>42171.620266203703</v>
      </c>
      <c r="G229" s="7" t="s">
        <v>521</v>
      </c>
      <c r="H229" s="9">
        <v>0</v>
      </c>
    </row>
    <row r="230" spans="1:8" x14ac:dyDescent="0.2">
      <c r="A230" t="s">
        <v>7</v>
      </c>
      <c r="B230" t="s">
        <v>1361</v>
      </c>
      <c r="C230" t="s">
        <v>474</v>
      </c>
      <c r="D230" t="s">
        <v>38</v>
      </c>
      <c r="E230">
        <v>19</v>
      </c>
      <c r="F230" s="5">
        <v>42641.5859837963</v>
      </c>
      <c r="G230" t="s">
        <v>38</v>
      </c>
      <c r="H230" s="6">
        <v>-1</v>
      </c>
    </row>
    <row r="231" spans="1:8" hidden="1" x14ac:dyDescent="0.2">
      <c r="A231" s="7" t="s">
        <v>7</v>
      </c>
      <c r="B231" s="7"/>
      <c r="C231" s="7" t="s">
        <v>525</v>
      </c>
      <c r="D231" s="7" t="s">
        <v>526</v>
      </c>
      <c r="E231" s="7">
        <v>3</v>
      </c>
      <c r="F231" s="8">
        <v>42527.803425925929</v>
      </c>
      <c r="G231" s="7" t="s">
        <v>526</v>
      </c>
      <c r="H231" s="9">
        <v>0</v>
      </c>
    </row>
    <row r="232" spans="1:8" x14ac:dyDescent="0.2">
      <c r="A232" t="s">
        <v>7</v>
      </c>
      <c r="B232" t="s">
        <v>1361</v>
      </c>
      <c r="C232" t="s">
        <v>475</v>
      </c>
      <c r="D232" t="s">
        <v>476</v>
      </c>
      <c r="E232">
        <v>41524</v>
      </c>
      <c r="F232" s="5">
        <v>42641.5859837963</v>
      </c>
      <c r="G232" t="s">
        <v>476</v>
      </c>
      <c r="H232" s="6">
        <v>11436</v>
      </c>
    </row>
    <row r="233" spans="1:8" s="7" customFormat="1" hidden="1" x14ac:dyDescent="0.2">
      <c r="A233" s="7" t="s">
        <v>7</v>
      </c>
      <c r="C233" s="7" t="s">
        <v>528</v>
      </c>
      <c r="D233" s="7" t="s">
        <v>38</v>
      </c>
      <c r="E233" s="7">
        <v>17032</v>
      </c>
      <c r="F233" s="8">
        <v>42593.65896990741</v>
      </c>
      <c r="G233" s="7" t="s">
        <v>38</v>
      </c>
      <c r="H233" s="9">
        <v>-991</v>
      </c>
    </row>
    <row r="234" spans="1:8" x14ac:dyDescent="0.2">
      <c r="A234" t="s">
        <v>7</v>
      </c>
      <c r="B234" t="s">
        <v>1361</v>
      </c>
      <c r="C234" t="s">
        <v>477</v>
      </c>
      <c r="D234" t="s">
        <v>478</v>
      </c>
      <c r="E234">
        <v>15719</v>
      </c>
      <c r="F234" s="5">
        <v>42641.5859837963</v>
      </c>
      <c r="G234" t="s">
        <v>478</v>
      </c>
      <c r="H234" s="6">
        <v>7038</v>
      </c>
    </row>
    <row r="235" spans="1:8" x14ac:dyDescent="0.2">
      <c r="A235" t="s">
        <v>7</v>
      </c>
      <c r="B235" t="s">
        <v>1361</v>
      </c>
      <c r="C235" t="s">
        <v>479</v>
      </c>
      <c r="D235" t="s">
        <v>480</v>
      </c>
      <c r="E235">
        <v>129975</v>
      </c>
      <c r="F235" s="5">
        <v>42641.5859837963</v>
      </c>
      <c r="G235" t="s">
        <v>480</v>
      </c>
      <c r="H235" s="6">
        <v>35765</v>
      </c>
    </row>
    <row r="236" spans="1:8" x14ac:dyDescent="0.2">
      <c r="A236" t="s">
        <v>7</v>
      </c>
      <c r="B236" t="s">
        <v>1361</v>
      </c>
      <c r="C236" t="s">
        <v>481</v>
      </c>
      <c r="D236" t="s">
        <v>482</v>
      </c>
      <c r="E236">
        <v>289</v>
      </c>
      <c r="F236" s="5">
        <v>42641.5859837963</v>
      </c>
      <c r="G236" t="s">
        <v>482</v>
      </c>
      <c r="H236" s="6">
        <v>86</v>
      </c>
    </row>
    <row r="237" spans="1:8" s="7" customFormat="1" hidden="1" x14ac:dyDescent="0.2">
      <c r="A237" s="7" t="s">
        <v>7</v>
      </c>
      <c r="C237" s="7" t="s">
        <v>536</v>
      </c>
      <c r="D237" s="7" t="s">
        <v>537</v>
      </c>
      <c r="E237" s="7">
        <v>116</v>
      </c>
      <c r="F237" s="8">
        <v>42632.735381944447</v>
      </c>
      <c r="G237" s="7" t="s">
        <v>537</v>
      </c>
      <c r="H237" s="9">
        <v>0</v>
      </c>
    </row>
    <row r="238" spans="1:8" s="7" customFormat="1" hidden="1" x14ac:dyDescent="0.2">
      <c r="A238" s="7" t="s">
        <v>7</v>
      </c>
      <c r="C238" s="7" t="s">
        <v>538</v>
      </c>
      <c r="D238" s="7" t="s">
        <v>539</v>
      </c>
      <c r="E238" s="7">
        <v>217</v>
      </c>
      <c r="F238" s="8">
        <v>42626.627430555556</v>
      </c>
      <c r="G238" s="7" t="s">
        <v>539</v>
      </c>
      <c r="H238" s="9">
        <v>-14</v>
      </c>
    </row>
    <row r="239" spans="1:8" x14ac:dyDescent="0.2">
      <c r="A239" t="s">
        <v>7</v>
      </c>
      <c r="B239" t="s">
        <v>1381</v>
      </c>
      <c r="C239" t="s">
        <v>261</v>
      </c>
      <c r="D239" t="s">
        <v>262</v>
      </c>
      <c r="E239">
        <v>5662858</v>
      </c>
      <c r="F239" s="5">
        <v>42080.382291666669</v>
      </c>
      <c r="G239" t="s">
        <v>263</v>
      </c>
      <c r="H239" s="6">
        <v>-182420</v>
      </c>
    </row>
    <row r="240" spans="1:8" s="7" customFormat="1" hidden="1" x14ac:dyDescent="0.2">
      <c r="A240" s="7" t="s">
        <v>7</v>
      </c>
      <c r="C240" s="7" t="s">
        <v>542</v>
      </c>
      <c r="D240" s="7" t="s">
        <v>543</v>
      </c>
      <c r="E240" s="7">
        <v>13</v>
      </c>
      <c r="F240" s="8">
        <v>42080.382453703707</v>
      </c>
      <c r="G240" s="7" t="s">
        <v>543</v>
      </c>
      <c r="H240" s="9">
        <v>0</v>
      </c>
    </row>
    <row r="241" spans="1:8" s="7" customFormat="1" hidden="1" x14ac:dyDescent="0.2">
      <c r="A241" s="7" t="s">
        <v>7</v>
      </c>
      <c r="C241" s="7" t="s">
        <v>544</v>
      </c>
      <c r="D241" s="7" t="s">
        <v>545</v>
      </c>
      <c r="E241" s="7">
        <v>372</v>
      </c>
      <c r="F241" s="8">
        <v>42213.774108796293</v>
      </c>
      <c r="G241" s="7" t="s">
        <v>545</v>
      </c>
      <c r="H241" s="9">
        <v>0</v>
      </c>
    </row>
    <row r="242" spans="1:8" s="7" customFormat="1" hidden="1" x14ac:dyDescent="0.2">
      <c r="A242" s="7" t="s">
        <v>7</v>
      </c>
      <c r="C242" s="7" t="s">
        <v>559</v>
      </c>
      <c r="D242" s="7" t="s">
        <v>560</v>
      </c>
      <c r="E242" s="7">
        <v>4774</v>
      </c>
      <c r="F242" s="8">
        <v>42638.855578703704</v>
      </c>
      <c r="G242" s="7" t="s">
        <v>560</v>
      </c>
      <c r="H242" s="9">
        <v>-57</v>
      </c>
    </row>
    <row r="243" spans="1:8" hidden="1" x14ac:dyDescent="0.2">
      <c r="A243" s="7" t="s">
        <v>7</v>
      </c>
      <c r="B243" s="7"/>
      <c r="C243" s="7" t="s">
        <v>599</v>
      </c>
      <c r="D243" s="7" t="s">
        <v>600</v>
      </c>
      <c r="E243" s="7">
        <v>6</v>
      </c>
      <c r="F243" s="8">
        <v>42638.855590277781</v>
      </c>
      <c r="G243" s="7" t="s">
        <v>600</v>
      </c>
      <c r="H243" s="9">
        <v>0</v>
      </c>
    </row>
    <row r="244" spans="1:8" x14ac:dyDescent="0.2">
      <c r="A244" t="s">
        <v>7</v>
      </c>
      <c r="B244" t="s">
        <v>1359</v>
      </c>
      <c r="C244" t="s">
        <v>371</v>
      </c>
      <c r="D244" t="s">
        <v>372</v>
      </c>
      <c r="E244">
        <v>6941</v>
      </c>
      <c r="F244" s="5">
        <v>42585.781215277777</v>
      </c>
      <c r="G244" t="s">
        <v>372</v>
      </c>
      <c r="H244" s="6">
        <v>-381</v>
      </c>
    </row>
    <row r="245" spans="1:8" s="7" customFormat="1" hidden="1" x14ac:dyDescent="0.2">
      <c r="A245" s="7" t="s">
        <v>7</v>
      </c>
      <c r="C245" s="7" t="s">
        <v>603</v>
      </c>
      <c r="D245" s="7" t="s">
        <v>586</v>
      </c>
      <c r="E245" s="7">
        <v>573</v>
      </c>
      <c r="F245" s="8">
        <v>42156.18236111111</v>
      </c>
      <c r="G245" s="7" t="s">
        <v>586</v>
      </c>
      <c r="H245" s="9">
        <v>-15</v>
      </c>
    </row>
    <row r="246" spans="1:8" x14ac:dyDescent="0.2">
      <c r="A246" t="s">
        <v>7</v>
      </c>
      <c r="B246" t="s">
        <v>1383</v>
      </c>
      <c r="C246" t="s">
        <v>376</v>
      </c>
      <c r="D246" t="s">
        <v>377</v>
      </c>
      <c r="E246">
        <v>10587626</v>
      </c>
      <c r="F246" s="5">
        <v>42080.382326388892</v>
      </c>
      <c r="G246" t="s">
        <v>378</v>
      </c>
      <c r="H246" s="6">
        <v>-368464</v>
      </c>
    </row>
    <row r="247" spans="1:8" x14ac:dyDescent="0.2">
      <c r="A247" t="s">
        <v>7</v>
      </c>
      <c r="B247" t="s">
        <v>1381</v>
      </c>
      <c r="C247" t="s">
        <v>379</v>
      </c>
      <c r="D247" t="s">
        <v>380</v>
      </c>
      <c r="E247">
        <v>21156</v>
      </c>
      <c r="F247" s="5">
        <v>42585.781215277777</v>
      </c>
      <c r="G247" t="s">
        <v>380</v>
      </c>
      <c r="H247" s="6">
        <v>-1042</v>
      </c>
    </row>
    <row r="248" spans="1:8" s="7" customFormat="1" hidden="1" x14ac:dyDescent="0.2">
      <c r="A248" s="7" t="s">
        <v>7</v>
      </c>
      <c r="C248" s="7" t="s">
        <v>608</v>
      </c>
      <c r="D248" s="7" t="s">
        <v>38</v>
      </c>
      <c r="E248" s="7">
        <v>1493</v>
      </c>
      <c r="F248" s="8">
        <v>42545.4528125</v>
      </c>
      <c r="G248" s="7" t="s">
        <v>38</v>
      </c>
      <c r="H248" s="9">
        <v>0</v>
      </c>
    </row>
    <row r="249" spans="1:8" s="7" customFormat="1" hidden="1" x14ac:dyDescent="0.2">
      <c r="A249" s="7" t="s">
        <v>7</v>
      </c>
      <c r="C249" s="7" t="s">
        <v>609</v>
      </c>
      <c r="D249" s="7" t="s">
        <v>610</v>
      </c>
      <c r="E249" s="7">
        <v>6335</v>
      </c>
      <c r="F249" s="8">
        <v>42578.74827546296</v>
      </c>
      <c r="G249" s="7" t="s">
        <v>610</v>
      </c>
      <c r="H249" s="9">
        <v>-55</v>
      </c>
    </row>
    <row r="250" spans="1:8" hidden="1" x14ac:dyDescent="0.2">
      <c r="A250" s="7" t="s">
        <v>7</v>
      </c>
      <c r="B250" s="7"/>
      <c r="C250" s="7" t="s">
        <v>611</v>
      </c>
      <c r="D250" s="7" t="s">
        <v>612</v>
      </c>
      <c r="E250" s="7">
        <v>1</v>
      </c>
      <c r="F250" s="8">
        <v>42241.667986111112</v>
      </c>
      <c r="G250" s="7" t="s">
        <v>612</v>
      </c>
      <c r="H250" s="9">
        <v>0</v>
      </c>
    </row>
    <row r="251" spans="1:8" x14ac:dyDescent="0.2">
      <c r="A251" t="s">
        <v>7</v>
      </c>
      <c r="B251" t="s">
        <v>1385</v>
      </c>
      <c r="C251" t="s">
        <v>493</v>
      </c>
      <c r="D251" t="s">
        <v>494</v>
      </c>
      <c r="E251">
        <v>2074</v>
      </c>
      <c r="F251" s="5">
        <v>42352.881354166668</v>
      </c>
      <c r="G251" t="s">
        <v>494</v>
      </c>
      <c r="H251" s="6">
        <v>-18</v>
      </c>
    </row>
    <row r="252" spans="1:8" x14ac:dyDescent="0.2">
      <c r="A252" t="s">
        <v>7</v>
      </c>
      <c r="B252" t="s">
        <v>1359</v>
      </c>
      <c r="C252" t="s">
        <v>866</v>
      </c>
      <c r="D252" t="s">
        <v>867</v>
      </c>
      <c r="E252">
        <v>602542</v>
      </c>
      <c r="F252" s="5">
        <v>42080.382523148146</v>
      </c>
      <c r="G252" t="s">
        <v>868</v>
      </c>
      <c r="H252" s="6">
        <v>-10967</v>
      </c>
    </row>
    <row r="253" spans="1:8" hidden="1" x14ac:dyDescent="0.2">
      <c r="A253" s="7" t="s">
        <v>7</v>
      </c>
      <c r="B253" s="7"/>
      <c r="C253" s="7" t="s">
        <v>617</v>
      </c>
      <c r="D253" s="7" t="s">
        <v>618</v>
      </c>
      <c r="E253" s="7">
        <v>5</v>
      </c>
      <c r="F253" s="8">
        <v>42156.18246527778</v>
      </c>
      <c r="G253" s="7" t="s">
        <v>618</v>
      </c>
      <c r="H253" s="9">
        <v>-1</v>
      </c>
    </row>
    <row r="254" spans="1:8" s="7" customFormat="1" hidden="1" x14ac:dyDescent="0.2">
      <c r="A254" s="7" t="s">
        <v>7</v>
      </c>
      <c r="C254" s="7" t="s">
        <v>619</v>
      </c>
      <c r="D254" s="7" t="s">
        <v>620</v>
      </c>
      <c r="E254" s="7">
        <v>629</v>
      </c>
      <c r="F254" s="8">
        <v>42080.382465277777</v>
      </c>
      <c r="G254" s="7" t="s">
        <v>620</v>
      </c>
      <c r="H254" s="9">
        <v>-27</v>
      </c>
    </row>
    <row r="255" spans="1:8" hidden="1" x14ac:dyDescent="0.2">
      <c r="A255" s="7" t="s">
        <v>7</v>
      </c>
      <c r="B255" s="7"/>
      <c r="C255" s="7" t="s">
        <v>621</v>
      </c>
      <c r="D255" s="7" t="s">
        <v>622</v>
      </c>
      <c r="E255" s="7">
        <v>1</v>
      </c>
      <c r="F255" s="8">
        <v>42080.382476851853</v>
      </c>
      <c r="G255" s="7" t="s">
        <v>622</v>
      </c>
      <c r="H255" s="9">
        <v>0</v>
      </c>
    </row>
    <row r="256" spans="1:8" s="7" customFormat="1" hidden="1" x14ac:dyDescent="0.2">
      <c r="A256" s="7" t="s">
        <v>7</v>
      </c>
      <c r="C256" s="7" t="s">
        <v>623</v>
      </c>
      <c r="D256" s="7" t="s">
        <v>38</v>
      </c>
      <c r="E256" s="7">
        <v>37</v>
      </c>
      <c r="F256" s="8">
        <v>42373.624490740738</v>
      </c>
      <c r="G256" s="7" t="s">
        <v>38</v>
      </c>
      <c r="H256" s="9">
        <v>0</v>
      </c>
    </row>
    <row r="257" spans="1:8" s="7" customFormat="1" hidden="1" x14ac:dyDescent="0.2">
      <c r="A257" s="7" t="s">
        <v>7</v>
      </c>
      <c r="C257" s="7" t="s">
        <v>624</v>
      </c>
      <c r="D257" s="7" t="s">
        <v>38</v>
      </c>
      <c r="E257" s="7">
        <v>11</v>
      </c>
      <c r="F257" s="8">
        <v>42388.690937500003</v>
      </c>
      <c r="G257" s="7" t="s">
        <v>38</v>
      </c>
      <c r="H257" s="9">
        <v>0</v>
      </c>
    </row>
    <row r="258" spans="1:8" x14ac:dyDescent="0.2">
      <c r="A258" t="s">
        <v>7</v>
      </c>
      <c r="B258" t="s">
        <v>1359</v>
      </c>
      <c r="C258" t="s">
        <v>455</v>
      </c>
      <c r="D258" t="s">
        <v>456</v>
      </c>
      <c r="E258">
        <v>773963</v>
      </c>
      <c r="F258" s="5">
        <v>42080.382372685184</v>
      </c>
      <c r="G258" t="s">
        <v>457</v>
      </c>
      <c r="H258" s="6">
        <v>-358</v>
      </c>
    </row>
    <row r="259" spans="1:8" s="7" customFormat="1" hidden="1" x14ac:dyDescent="0.2">
      <c r="A259" s="7" t="s">
        <v>7</v>
      </c>
      <c r="C259" s="7" t="s">
        <v>625</v>
      </c>
      <c r="D259" s="7" t="s">
        <v>38</v>
      </c>
      <c r="E259" s="7">
        <v>11</v>
      </c>
      <c r="F259" s="8">
        <v>42388.691053240742</v>
      </c>
      <c r="G259" s="7" t="s">
        <v>38</v>
      </c>
      <c r="H259" s="9">
        <v>0</v>
      </c>
    </row>
    <row r="260" spans="1:8" s="7" customFormat="1" hidden="1" x14ac:dyDescent="0.2">
      <c r="A260" s="7" t="s">
        <v>7</v>
      </c>
      <c r="C260" s="7" t="s">
        <v>626</v>
      </c>
      <c r="D260" s="7" t="s">
        <v>627</v>
      </c>
      <c r="E260" s="7">
        <v>1503</v>
      </c>
      <c r="F260" s="8">
        <v>42080.382476851853</v>
      </c>
      <c r="G260" s="7" t="s">
        <v>627</v>
      </c>
      <c r="H260" s="9">
        <v>0</v>
      </c>
    </row>
    <row r="261" spans="1:8" s="7" customFormat="1" hidden="1" x14ac:dyDescent="0.2">
      <c r="A261" s="7" t="s">
        <v>7</v>
      </c>
      <c r="C261" s="7" t="s">
        <v>628</v>
      </c>
      <c r="D261" s="7" t="s">
        <v>38</v>
      </c>
      <c r="E261" s="7">
        <v>987103</v>
      </c>
      <c r="F261" s="8">
        <v>42373.625856481478</v>
      </c>
      <c r="G261" s="7" t="s">
        <v>38</v>
      </c>
      <c r="H261" s="9">
        <v>11047</v>
      </c>
    </row>
    <row r="262" spans="1:8" s="7" customFormat="1" hidden="1" x14ac:dyDescent="0.2">
      <c r="A262" s="7" t="s">
        <v>7</v>
      </c>
      <c r="C262" s="7" t="s">
        <v>629</v>
      </c>
      <c r="D262" s="7" t="s">
        <v>38</v>
      </c>
      <c r="E262" s="7">
        <v>298662</v>
      </c>
      <c r="F262" s="8">
        <v>42388.690810185188</v>
      </c>
      <c r="G262" s="7" t="s">
        <v>38</v>
      </c>
      <c r="H262" s="9">
        <v>0</v>
      </c>
    </row>
    <row r="263" spans="1:8" hidden="1" x14ac:dyDescent="0.2">
      <c r="A263" s="7" t="s">
        <v>7</v>
      </c>
      <c r="B263" s="7" t="s">
        <v>1343</v>
      </c>
      <c r="C263" s="7" t="s">
        <v>12</v>
      </c>
      <c r="D263" s="7" t="s">
        <v>38</v>
      </c>
      <c r="E263" s="7">
        <v>531</v>
      </c>
      <c r="F263" s="8">
        <v>42467.862569444442</v>
      </c>
      <c r="G263" s="7" t="s">
        <v>38</v>
      </c>
      <c r="H263" s="9">
        <v>-7</v>
      </c>
    </row>
    <row r="264" spans="1:8" hidden="1" x14ac:dyDescent="0.2">
      <c r="A264" s="7" t="s">
        <v>7</v>
      </c>
      <c r="B264" s="7" t="s">
        <v>1343</v>
      </c>
      <c r="C264" s="7" t="s">
        <v>13</v>
      </c>
      <c r="D264" s="7" t="s">
        <v>38</v>
      </c>
      <c r="E264" s="7">
        <v>2215490</v>
      </c>
      <c r="F264" s="8">
        <v>42467.862662037034</v>
      </c>
      <c r="G264" s="7" t="s">
        <v>38</v>
      </c>
      <c r="H264" s="9">
        <v>3289</v>
      </c>
    </row>
    <row r="265" spans="1:8" s="7" customFormat="1" hidden="1" x14ac:dyDescent="0.2">
      <c r="A265" s="7" t="s">
        <v>7</v>
      </c>
      <c r="C265" s="7" t="s">
        <v>630</v>
      </c>
      <c r="D265" s="7" t="s">
        <v>38</v>
      </c>
      <c r="E265" s="7">
        <v>1086318</v>
      </c>
      <c r="F265" s="8">
        <v>42373.626319444447</v>
      </c>
      <c r="G265" s="7" t="s">
        <v>38</v>
      </c>
      <c r="H265" s="9">
        <v>11047</v>
      </c>
    </row>
    <row r="266" spans="1:8" s="7" customFormat="1" hidden="1" x14ac:dyDescent="0.2">
      <c r="A266" s="7" t="s">
        <v>7</v>
      </c>
      <c r="C266" s="7" t="s">
        <v>631</v>
      </c>
      <c r="D266" s="7" t="s">
        <v>38</v>
      </c>
      <c r="E266" s="7">
        <v>28508</v>
      </c>
      <c r="F266" s="8">
        <v>42423.861643518518</v>
      </c>
      <c r="G266" s="7" t="s">
        <v>38</v>
      </c>
      <c r="H266" s="9">
        <v>-736</v>
      </c>
    </row>
    <row r="267" spans="1:8" s="7" customFormat="1" hidden="1" x14ac:dyDescent="0.2">
      <c r="A267" s="7" t="s">
        <v>7</v>
      </c>
      <c r="C267" s="7" t="s">
        <v>632</v>
      </c>
      <c r="D267" s="7" t="s">
        <v>633</v>
      </c>
      <c r="E267" s="7">
        <v>9985</v>
      </c>
      <c r="F267" s="8">
        <v>42578.545138888891</v>
      </c>
      <c r="G267" s="7" t="s">
        <v>633</v>
      </c>
      <c r="H267" s="9">
        <v>-736</v>
      </c>
    </row>
    <row r="268" spans="1:8" s="7" customFormat="1" hidden="1" x14ac:dyDescent="0.2">
      <c r="A268" s="7" t="s">
        <v>7</v>
      </c>
      <c r="C268" s="7" t="s">
        <v>634</v>
      </c>
      <c r="D268" s="7" t="s">
        <v>38</v>
      </c>
      <c r="E268" s="7">
        <v>19495</v>
      </c>
      <c r="F268" s="8">
        <v>42423.861539351848</v>
      </c>
      <c r="G268" s="7" t="s">
        <v>38</v>
      </c>
      <c r="H268" s="9">
        <v>0</v>
      </c>
    </row>
    <row r="269" spans="1:8" s="7" customFormat="1" hidden="1" x14ac:dyDescent="0.2">
      <c r="A269" s="7" t="s">
        <v>7</v>
      </c>
      <c r="C269" s="7" t="s">
        <v>637</v>
      </c>
      <c r="D269" s="7" t="s">
        <v>638</v>
      </c>
      <c r="E269" s="7">
        <v>28085439</v>
      </c>
      <c r="F269" s="8">
        <v>42422.886504629627</v>
      </c>
      <c r="G269" s="7" t="s">
        <v>638</v>
      </c>
      <c r="H269" s="9">
        <v>-703093</v>
      </c>
    </row>
    <row r="270" spans="1:8" s="7" customFormat="1" hidden="1" x14ac:dyDescent="0.2">
      <c r="A270" s="7" t="s">
        <v>7</v>
      </c>
      <c r="C270" s="7" t="s">
        <v>639</v>
      </c>
      <c r="D270" s="7" t="s">
        <v>640</v>
      </c>
      <c r="E270" s="7">
        <v>3019</v>
      </c>
      <c r="F270" s="8">
        <v>42249.790185185186</v>
      </c>
      <c r="G270" s="7" t="s">
        <v>640</v>
      </c>
      <c r="H270" s="9">
        <v>0</v>
      </c>
    </row>
    <row r="271" spans="1:8" x14ac:dyDescent="0.2">
      <c r="A271" t="s">
        <v>7</v>
      </c>
      <c r="B271" t="s">
        <v>1360</v>
      </c>
      <c r="C271" t="s">
        <v>459</v>
      </c>
      <c r="D271" t="s">
        <v>460</v>
      </c>
      <c r="E271">
        <v>159788</v>
      </c>
      <c r="F271" s="5">
        <v>42080.382372685184</v>
      </c>
      <c r="G271" t="s">
        <v>461</v>
      </c>
      <c r="H271" s="6">
        <v>-357</v>
      </c>
    </row>
    <row r="272" spans="1:8" s="7" customFormat="1" hidden="1" x14ac:dyDescent="0.2">
      <c r="A272" s="7" t="s">
        <v>7</v>
      </c>
      <c r="C272" s="7" t="s">
        <v>645</v>
      </c>
      <c r="D272" s="7" t="s">
        <v>646</v>
      </c>
      <c r="E272" s="7">
        <v>150</v>
      </c>
      <c r="F272" s="8">
        <v>42585.78125</v>
      </c>
      <c r="G272" s="7" t="s">
        <v>646</v>
      </c>
      <c r="H272" s="9">
        <v>-1</v>
      </c>
    </row>
    <row r="273" spans="1:8" s="7" customFormat="1" hidden="1" x14ac:dyDescent="0.2">
      <c r="A273" s="7" t="s">
        <v>7</v>
      </c>
      <c r="C273" s="7" t="s">
        <v>647</v>
      </c>
      <c r="D273" s="7" t="s">
        <v>648</v>
      </c>
      <c r="E273" s="7">
        <v>57</v>
      </c>
      <c r="F273" s="8">
        <v>42585.78125</v>
      </c>
      <c r="G273" s="7" t="s">
        <v>648</v>
      </c>
      <c r="H273" s="9">
        <v>-1</v>
      </c>
    </row>
    <row r="274" spans="1:8" s="7" customFormat="1" hidden="1" x14ac:dyDescent="0.2">
      <c r="A274" s="7" t="s">
        <v>7</v>
      </c>
      <c r="C274" s="7" t="s">
        <v>649</v>
      </c>
      <c r="D274" s="7" t="s">
        <v>650</v>
      </c>
      <c r="E274" s="7">
        <v>29</v>
      </c>
      <c r="F274" s="8">
        <v>42080.382488425923</v>
      </c>
      <c r="G274" s="7" t="s">
        <v>650</v>
      </c>
      <c r="H274" s="9">
        <v>0</v>
      </c>
    </row>
    <row r="275" spans="1:8" s="7" customFormat="1" hidden="1" x14ac:dyDescent="0.2">
      <c r="A275" s="7" t="s">
        <v>7</v>
      </c>
      <c r="C275" s="7" t="s">
        <v>653</v>
      </c>
      <c r="D275" s="7" t="s">
        <v>654</v>
      </c>
      <c r="E275" s="7">
        <v>1721269</v>
      </c>
      <c r="F275" s="8">
        <v>42080.382488425923</v>
      </c>
      <c r="G275" s="7" t="s">
        <v>655</v>
      </c>
      <c r="H275" s="9">
        <v>-3626</v>
      </c>
    </row>
    <row r="276" spans="1:8" s="7" customFormat="1" hidden="1" x14ac:dyDescent="0.2">
      <c r="A276" s="7" t="s">
        <v>7</v>
      </c>
      <c r="C276" s="7" t="s">
        <v>656</v>
      </c>
      <c r="D276" s="7" t="s">
        <v>657</v>
      </c>
      <c r="E276" s="7">
        <v>37</v>
      </c>
      <c r="F276" s="8">
        <v>42156.182476851849</v>
      </c>
      <c r="G276" s="7" t="s">
        <v>657</v>
      </c>
      <c r="H276" s="9">
        <v>0</v>
      </c>
    </row>
    <row r="277" spans="1:8" hidden="1" x14ac:dyDescent="0.2">
      <c r="A277" s="7" t="s">
        <v>7</v>
      </c>
      <c r="B277" s="7"/>
      <c r="C277" s="7" t="s">
        <v>658</v>
      </c>
      <c r="D277" s="7" t="s">
        <v>659</v>
      </c>
      <c r="E277" s="7">
        <v>2</v>
      </c>
      <c r="F277" s="8">
        <v>42614.660497685189</v>
      </c>
      <c r="G277" s="7" t="s">
        <v>659</v>
      </c>
      <c r="H277" s="9">
        <v>0</v>
      </c>
    </row>
    <row r="278" spans="1:8" s="7" customFormat="1" hidden="1" x14ac:dyDescent="0.2">
      <c r="A278" s="7" t="s">
        <v>7</v>
      </c>
      <c r="C278" s="7" t="s">
        <v>660</v>
      </c>
      <c r="D278" s="7" t="s">
        <v>661</v>
      </c>
      <c r="E278" s="7">
        <v>3284761</v>
      </c>
      <c r="F278" s="8">
        <v>42185.874826388892</v>
      </c>
      <c r="G278" s="7" t="s">
        <v>661</v>
      </c>
      <c r="H278" s="9">
        <v>-61838</v>
      </c>
    </row>
    <row r="279" spans="1:8" s="7" customFormat="1" hidden="1" x14ac:dyDescent="0.2">
      <c r="A279" s="7" t="s">
        <v>7</v>
      </c>
      <c r="C279" s="7" t="s">
        <v>662</v>
      </c>
      <c r="D279" s="7" t="s">
        <v>663</v>
      </c>
      <c r="E279" s="7">
        <v>15294087</v>
      </c>
      <c r="F279" s="8">
        <v>42080.382488425923</v>
      </c>
      <c r="G279" s="7" t="s">
        <v>663</v>
      </c>
      <c r="H279" s="9">
        <v>-235450</v>
      </c>
    </row>
    <row r="280" spans="1:8" s="7" customFormat="1" hidden="1" x14ac:dyDescent="0.2">
      <c r="A280" s="7" t="s">
        <v>7</v>
      </c>
      <c r="C280" s="7" t="s">
        <v>664</v>
      </c>
      <c r="D280" s="7" t="s">
        <v>665</v>
      </c>
      <c r="E280" s="7">
        <v>87</v>
      </c>
      <c r="F280" s="8">
        <v>42373.478078703702</v>
      </c>
      <c r="G280" s="7" t="s">
        <v>665</v>
      </c>
      <c r="H280" s="9">
        <v>0</v>
      </c>
    </row>
    <row r="281" spans="1:8" x14ac:dyDescent="0.2">
      <c r="A281" t="s">
        <v>7</v>
      </c>
      <c r="B281" t="s">
        <v>1335</v>
      </c>
      <c r="C281" t="s">
        <v>249</v>
      </c>
      <c r="D281" t="s">
        <v>250</v>
      </c>
      <c r="E281">
        <v>221366105</v>
      </c>
      <c r="F281" s="5">
        <v>42080.382280092592</v>
      </c>
      <c r="G281" t="s">
        <v>250</v>
      </c>
      <c r="H281" s="6">
        <v>-7896950</v>
      </c>
    </row>
    <row r="282" spans="1:8" s="7" customFormat="1" hidden="1" x14ac:dyDescent="0.2">
      <c r="A282" s="7" t="s">
        <v>7</v>
      </c>
      <c r="C282" s="7" t="s">
        <v>667</v>
      </c>
      <c r="D282" s="7" t="s">
        <v>668</v>
      </c>
      <c r="E282" s="7">
        <v>17141</v>
      </c>
      <c r="F282" s="8">
        <v>42080.382488425923</v>
      </c>
      <c r="G282" s="7" t="s">
        <v>668</v>
      </c>
      <c r="H282" s="9">
        <v>0</v>
      </c>
    </row>
    <row r="283" spans="1:8" s="7" customFormat="1" hidden="1" x14ac:dyDescent="0.2">
      <c r="A283" s="7" t="s">
        <v>7</v>
      </c>
      <c r="C283" s="7" t="s">
        <v>669</v>
      </c>
      <c r="D283" s="7" t="s">
        <v>670</v>
      </c>
      <c r="E283" s="7">
        <v>50</v>
      </c>
      <c r="F283" s="8">
        <v>42080.382488425923</v>
      </c>
      <c r="G283" s="7" t="s">
        <v>670</v>
      </c>
      <c r="H283" s="9">
        <v>0</v>
      </c>
    </row>
    <row r="284" spans="1:8" s="7" customFormat="1" hidden="1" x14ac:dyDescent="0.2">
      <c r="A284" s="7" t="s">
        <v>7</v>
      </c>
      <c r="C284" s="7" t="s">
        <v>671</v>
      </c>
      <c r="D284" s="7" t="s">
        <v>672</v>
      </c>
      <c r="E284" s="7">
        <v>70051902</v>
      </c>
      <c r="F284" s="8">
        <v>42080.3825</v>
      </c>
      <c r="G284" s="7" t="s">
        <v>673</v>
      </c>
      <c r="H284" s="9">
        <v>-35412</v>
      </c>
    </row>
    <row r="285" spans="1:8" hidden="1" x14ac:dyDescent="0.2">
      <c r="A285" s="7" t="s">
        <v>7</v>
      </c>
      <c r="B285" s="7"/>
      <c r="C285" s="7" t="s">
        <v>674</v>
      </c>
      <c r="D285" s="7" t="s">
        <v>675</v>
      </c>
      <c r="E285" s="7">
        <v>1</v>
      </c>
      <c r="F285" s="8">
        <v>42373.478148148148</v>
      </c>
      <c r="G285" s="7" t="s">
        <v>675</v>
      </c>
      <c r="H285" s="9">
        <v>0</v>
      </c>
    </row>
    <row r="286" spans="1:8" s="7" customFormat="1" hidden="1" x14ac:dyDescent="0.2">
      <c r="A286" s="7" t="s">
        <v>7</v>
      </c>
      <c r="C286" s="7" t="s">
        <v>676</v>
      </c>
      <c r="D286" s="7" t="s">
        <v>677</v>
      </c>
      <c r="E286" s="7">
        <v>406132</v>
      </c>
      <c r="F286" s="8">
        <v>42080.3825</v>
      </c>
      <c r="G286" s="7" t="s">
        <v>678</v>
      </c>
      <c r="H286" s="9">
        <v>0</v>
      </c>
    </row>
    <row r="287" spans="1:8" x14ac:dyDescent="0.2">
      <c r="A287" t="s">
        <v>7</v>
      </c>
      <c r="B287" t="s">
        <v>1334</v>
      </c>
      <c r="C287" t="s">
        <v>364</v>
      </c>
      <c r="D287" t="s">
        <v>365</v>
      </c>
      <c r="E287">
        <v>29414</v>
      </c>
      <c r="F287" s="5">
        <v>42080.382326388892</v>
      </c>
      <c r="G287" t="s">
        <v>366</v>
      </c>
      <c r="H287" s="6">
        <v>0</v>
      </c>
    </row>
    <row r="288" spans="1:8" s="7" customFormat="1" hidden="1" x14ac:dyDescent="0.2">
      <c r="A288" s="7" t="s">
        <v>7</v>
      </c>
      <c r="C288" s="7" t="s">
        <v>681</v>
      </c>
      <c r="D288" s="7" t="s">
        <v>38</v>
      </c>
      <c r="E288" s="7">
        <v>409</v>
      </c>
      <c r="F288" s="8">
        <v>42183.99931712963</v>
      </c>
      <c r="G288" s="7" t="s">
        <v>38</v>
      </c>
      <c r="H288" s="9">
        <v>0</v>
      </c>
    </row>
    <row r="289" spans="1:8" s="7" customFormat="1" hidden="1" x14ac:dyDescent="0.2">
      <c r="A289" s="7" t="s">
        <v>7</v>
      </c>
      <c r="C289" s="7" t="s">
        <v>682</v>
      </c>
      <c r="D289" s="7" t="s">
        <v>683</v>
      </c>
      <c r="E289" s="7">
        <v>365</v>
      </c>
      <c r="F289" s="8">
        <v>42080.3825</v>
      </c>
      <c r="G289" s="7" t="s">
        <v>683</v>
      </c>
      <c r="H289" s="9">
        <v>-5</v>
      </c>
    </row>
    <row r="290" spans="1:8" s="7" customFormat="1" hidden="1" x14ac:dyDescent="0.2">
      <c r="A290" s="7" t="s">
        <v>7</v>
      </c>
      <c r="C290" s="7" t="s">
        <v>685</v>
      </c>
      <c r="D290" s="7" t="s">
        <v>686</v>
      </c>
      <c r="E290" s="7">
        <v>80</v>
      </c>
      <c r="F290" s="8">
        <v>42080.3825</v>
      </c>
      <c r="G290" s="7" t="s">
        <v>686</v>
      </c>
      <c r="H290" s="9">
        <v>0</v>
      </c>
    </row>
    <row r="291" spans="1:8" s="7" customFormat="1" hidden="1" x14ac:dyDescent="0.2">
      <c r="A291" s="7" t="s">
        <v>7</v>
      </c>
      <c r="C291" s="7" t="s">
        <v>687</v>
      </c>
      <c r="D291" s="7" t="s">
        <v>688</v>
      </c>
      <c r="E291" s="7">
        <v>109</v>
      </c>
      <c r="F291" s="8">
        <v>42080.3825</v>
      </c>
      <c r="G291" s="7" t="s">
        <v>688</v>
      </c>
      <c r="H291" s="9">
        <v>-2</v>
      </c>
    </row>
    <row r="292" spans="1:8" hidden="1" x14ac:dyDescent="0.2">
      <c r="A292" s="7" t="s">
        <v>7</v>
      </c>
      <c r="B292" s="7"/>
      <c r="C292" s="7" t="s">
        <v>689</v>
      </c>
      <c r="D292" s="7" t="s">
        <v>690</v>
      </c>
      <c r="E292" s="7">
        <v>2081</v>
      </c>
      <c r="F292" s="8">
        <v>42187.777129629627</v>
      </c>
      <c r="G292" s="7" t="s">
        <v>690</v>
      </c>
      <c r="H292" s="9">
        <v>0</v>
      </c>
    </row>
    <row r="293" spans="1:8" x14ac:dyDescent="0.2">
      <c r="A293" t="s">
        <v>7</v>
      </c>
      <c r="B293" t="s">
        <v>1376</v>
      </c>
      <c r="C293" t="s">
        <v>180</v>
      </c>
      <c r="D293" t="s">
        <v>181</v>
      </c>
      <c r="E293">
        <v>3004</v>
      </c>
      <c r="F293" s="5">
        <v>42482.004872685182</v>
      </c>
      <c r="G293" t="s">
        <v>181</v>
      </c>
      <c r="H293" s="6">
        <v>-4</v>
      </c>
    </row>
    <row r="294" spans="1:8" s="7" customFormat="1" hidden="1" x14ac:dyDescent="0.2">
      <c r="A294" s="7" t="s">
        <v>7</v>
      </c>
      <c r="C294" s="7" t="s">
        <v>699</v>
      </c>
      <c r="D294" s="7" t="s">
        <v>700</v>
      </c>
      <c r="E294" s="7">
        <v>2761</v>
      </c>
      <c r="F294" s="8">
        <v>42481.975949074076</v>
      </c>
      <c r="G294" s="7" t="s">
        <v>700</v>
      </c>
      <c r="H294" s="9">
        <v>-1</v>
      </c>
    </row>
    <row r="295" spans="1:8" s="7" customFormat="1" hidden="1" x14ac:dyDescent="0.2">
      <c r="A295" s="7" t="s">
        <v>7</v>
      </c>
      <c r="C295" s="7" t="s">
        <v>701</v>
      </c>
      <c r="D295" s="7" t="s">
        <v>702</v>
      </c>
      <c r="E295" s="7">
        <v>327</v>
      </c>
      <c r="F295" s="8">
        <v>42523.82236111111</v>
      </c>
      <c r="G295" s="7" t="s">
        <v>702</v>
      </c>
      <c r="H295" s="9">
        <v>-10</v>
      </c>
    </row>
    <row r="296" spans="1:8" x14ac:dyDescent="0.2">
      <c r="A296" t="s">
        <v>7</v>
      </c>
      <c r="B296" t="s">
        <v>1375</v>
      </c>
      <c r="C296" t="s">
        <v>323</v>
      </c>
      <c r="D296" t="s">
        <v>324</v>
      </c>
      <c r="E296">
        <v>780</v>
      </c>
      <c r="F296" s="5">
        <v>42156.163356481484</v>
      </c>
      <c r="G296" t="s">
        <v>324</v>
      </c>
      <c r="H296" s="6">
        <v>-8</v>
      </c>
    </row>
    <row r="297" spans="1:8" x14ac:dyDescent="0.2">
      <c r="A297" t="s">
        <v>7</v>
      </c>
      <c r="B297" t="s">
        <v>1355</v>
      </c>
      <c r="C297" t="s">
        <v>342</v>
      </c>
      <c r="D297" t="s">
        <v>343</v>
      </c>
      <c r="E297">
        <v>3467</v>
      </c>
      <c r="F297" s="5">
        <v>42080.382326388892</v>
      </c>
      <c r="G297" t="s">
        <v>343</v>
      </c>
      <c r="H297" s="6">
        <v>0</v>
      </c>
    </row>
    <row r="298" spans="1:8" s="7" customFormat="1" hidden="1" x14ac:dyDescent="0.2">
      <c r="A298" s="7" t="s">
        <v>7</v>
      </c>
      <c r="C298" s="7" t="s">
        <v>708</v>
      </c>
      <c r="D298" s="7" t="s">
        <v>709</v>
      </c>
      <c r="E298" s="7">
        <v>300</v>
      </c>
      <c r="F298" s="8">
        <v>42585.740624999999</v>
      </c>
      <c r="G298" s="7" t="s">
        <v>709</v>
      </c>
      <c r="H298" s="9">
        <v>-2</v>
      </c>
    </row>
    <row r="299" spans="1:8" x14ac:dyDescent="0.2">
      <c r="A299" t="s">
        <v>7</v>
      </c>
      <c r="B299" t="s">
        <v>1351</v>
      </c>
      <c r="C299" t="s">
        <v>606</v>
      </c>
      <c r="D299" t="s">
        <v>607</v>
      </c>
      <c r="E299">
        <v>3230</v>
      </c>
      <c r="F299" s="5">
        <v>42156.18236111111</v>
      </c>
      <c r="G299" t="s">
        <v>607</v>
      </c>
      <c r="H299" s="6">
        <v>0</v>
      </c>
    </row>
    <row r="300" spans="1:8" s="7" customFormat="1" hidden="1" x14ac:dyDescent="0.2">
      <c r="A300" s="7" t="s">
        <v>7</v>
      </c>
      <c r="C300" s="7" t="s">
        <v>712</v>
      </c>
      <c r="D300" s="7" t="s">
        <v>713</v>
      </c>
      <c r="E300" s="7">
        <v>16993</v>
      </c>
      <c r="F300" s="8">
        <v>42156.193009259259</v>
      </c>
      <c r="G300" s="7" t="s">
        <v>713</v>
      </c>
      <c r="H300" s="9">
        <v>-109</v>
      </c>
    </row>
    <row r="301" spans="1:8" s="7" customFormat="1" hidden="1" x14ac:dyDescent="0.2">
      <c r="A301" s="7" t="s">
        <v>7</v>
      </c>
      <c r="C301" s="7" t="s">
        <v>714</v>
      </c>
      <c r="D301" s="7" t="s">
        <v>715</v>
      </c>
      <c r="E301" s="7">
        <v>38032</v>
      </c>
      <c r="F301" s="8">
        <v>42156.193043981482</v>
      </c>
      <c r="G301" s="7" t="s">
        <v>715</v>
      </c>
      <c r="H301" s="9">
        <v>-43</v>
      </c>
    </row>
    <row r="302" spans="1:8" x14ac:dyDescent="0.2">
      <c r="A302" t="s">
        <v>7</v>
      </c>
      <c r="B302" t="s">
        <v>1376</v>
      </c>
      <c r="C302" t="s">
        <v>643</v>
      </c>
      <c r="D302" t="s">
        <v>644</v>
      </c>
      <c r="E302">
        <v>2668</v>
      </c>
      <c r="F302" s="5">
        <v>42156.18246527778</v>
      </c>
      <c r="G302" t="s">
        <v>644</v>
      </c>
      <c r="H302" s="6">
        <v>-8</v>
      </c>
    </row>
    <row r="303" spans="1:8" x14ac:dyDescent="0.2">
      <c r="A303" t="s">
        <v>7</v>
      </c>
      <c r="B303" t="s">
        <v>1386</v>
      </c>
      <c r="C303" t="s">
        <v>221</v>
      </c>
      <c r="D303" t="s">
        <v>222</v>
      </c>
      <c r="E303">
        <v>2191</v>
      </c>
      <c r="F303" s="5">
        <v>42080.382256944446</v>
      </c>
      <c r="G303" t="s">
        <v>222</v>
      </c>
      <c r="H303" s="6">
        <v>0</v>
      </c>
    </row>
    <row r="304" spans="1:8" s="7" customFormat="1" hidden="1" x14ac:dyDescent="0.2">
      <c r="A304" s="7" t="s">
        <v>7</v>
      </c>
      <c r="C304" s="7" t="s">
        <v>720</v>
      </c>
      <c r="D304" s="7" t="s">
        <v>719</v>
      </c>
      <c r="E304" s="7">
        <v>435464</v>
      </c>
      <c r="F304" s="8">
        <v>42326.969444444447</v>
      </c>
      <c r="G304" s="7" t="s">
        <v>719</v>
      </c>
      <c r="H304" s="9">
        <v>0</v>
      </c>
    </row>
    <row r="305" spans="1:8" s="7" customFormat="1" hidden="1" x14ac:dyDescent="0.2">
      <c r="A305" s="7" t="s">
        <v>7</v>
      </c>
      <c r="C305" s="7" t="s">
        <v>723</v>
      </c>
      <c r="D305" s="7" t="s">
        <v>724</v>
      </c>
      <c r="E305" s="7">
        <v>17074</v>
      </c>
      <c r="F305" s="8">
        <v>42080.3825</v>
      </c>
      <c r="G305" s="7" t="s">
        <v>724</v>
      </c>
      <c r="H305" s="9">
        <v>0</v>
      </c>
    </row>
    <row r="306" spans="1:8" x14ac:dyDescent="0.2">
      <c r="A306" t="s">
        <v>7</v>
      </c>
      <c r="B306" t="s">
        <v>1331</v>
      </c>
      <c r="C306" t="s">
        <v>327</v>
      </c>
      <c r="D306" t="s">
        <v>328</v>
      </c>
      <c r="E306">
        <v>12305361</v>
      </c>
      <c r="F306" s="5">
        <v>42156.163356481484</v>
      </c>
      <c r="G306" t="s">
        <v>328</v>
      </c>
      <c r="H306" s="6">
        <v>-156768</v>
      </c>
    </row>
    <row r="307" spans="1:8" x14ac:dyDescent="0.2">
      <c r="A307" t="s">
        <v>7</v>
      </c>
      <c r="B307" t="s">
        <v>1340</v>
      </c>
      <c r="C307" t="s">
        <v>83</v>
      </c>
      <c r="D307" t="s">
        <v>84</v>
      </c>
      <c r="E307">
        <v>3434997</v>
      </c>
      <c r="F307" s="5">
        <v>42080.382222222222</v>
      </c>
      <c r="G307" t="s">
        <v>85</v>
      </c>
      <c r="H307" s="6">
        <v>-28833</v>
      </c>
    </row>
    <row r="308" spans="1:8" s="7" customFormat="1" hidden="1" x14ac:dyDescent="0.2">
      <c r="A308" s="7" t="s">
        <v>7</v>
      </c>
      <c r="C308" s="7" t="s">
        <v>729</v>
      </c>
      <c r="D308" s="7" t="s">
        <v>730</v>
      </c>
      <c r="E308" s="7">
        <v>3277</v>
      </c>
      <c r="F308" s="8">
        <v>42156.19321759259</v>
      </c>
      <c r="G308" s="7" t="s">
        <v>730</v>
      </c>
      <c r="H308" s="9">
        <v>0</v>
      </c>
    </row>
    <row r="309" spans="1:8" s="7" customFormat="1" hidden="1" x14ac:dyDescent="0.2">
      <c r="A309" s="7" t="s">
        <v>7</v>
      </c>
      <c r="C309" s="7" t="s">
        <v>731</v>
      </c>
      <c r="D309" s="7" t="s">
        <v>732</v>
      </c>
      <c r="E309" s="7">
        <v>283610</v>
      </c>
      <c r="F309" s="8">
        <v>42156.19321759259</v>
      </c>
      <c r="G309" s="7" t="s">
        <v>732</v>
      </c>
      <c r="H309" s="9">
        <v>-386</v>
      </c>
    </row>
    <row r="310" spans="1:8" x14ac:dyDescent="0.2">
      <c r="A310" t="s">
        <v>7</v>
      </c>
      <c r="B310" t="s">
        <v>1389</v>
      </c>
      <c r="C310" t="s">
        <v>414</v>
      </c>
      <c r="D310" t="s">
        <v>415</v>
      </c>
      <c r="E310">
        <v>166903</v>
      </c>
      <c r="F310" s="5">
        <v>42600.751759259256</v>
      </c>
      <c r="G310" t="s">
        <v>415</v>
      </c>
      <c r="H310" s="6">
        <v>-8192</v>
      </c>
    </row>
    <row r="311" spans="1:8" x14ac:dyDescent="0.2">
      <c r="A311" t="s">
        <v>7</v>
      </c>
      <c r="B311" t="s">
        <v>1340</v>
      </c>
      <c r="C311" t="s">
        <v>10</v>
      </c>
      <c r="D311" t="s">
        <v>38</v>
      </c>
      <c r="E311">
        <v>19</v>
      </c>
      <c r="F311" s="5">
        <v>42373.625428240739</v>
      </c>
      <c r="G311" t="s">
        <v>38</v>
      </c>
      <c r="H311" s="6">
        <v>0</v>
      </c>
    </row>
    <row r="312" spans="1:8" x14ac:dyDescent="0.2">
      <c r="A312" t="s">
        <v>7</v>
      </c>
      <c r="B312" t="s">
        <v>1340</v>
      </c>
      <c r="C312" t="s">
        <v>3</v>
      </c>
      <c r="D312" t="s">
        <v>4</v>
      </c>
      <c r="E312">
        <v>33054292</v>
      </c>
      <c r="F312" s="5">
        <v>42080.382488425923</v>
      </c>
      <c r="G312" t="s">
        <v>666</v>
      </c>
      <c r="H312" s="6">
        <v>-918150</v>
      </c>
    </row>
    <row r="313" spans="1:8" s="7" customFormat="1" hidden="1" x14ac:dyDescent="0.2">
      <c r="A313" s="7" t="s">
        <v>7</v>
      </c>
      <c r="C313" s="7" t="s">
        <v>743</v>
      </c>
      <c r="D313" s="7" t="s">
        <v>744</v>
      </c>
      <c r="E313" s="7">
        <v>9968</v>
      </c>
      <c r="F313" s="8">
        <v>42156.193472222221</v>
      </c>
      <c r="G313" s="7" t="s">
        <v>744</v>
      </c>
      <c r="H313" s="9">
        <v>-16</v>
      </c>
    </row>
    <row r="314" spans="1:8" x14ac:dyDescent="0.2">
      <c r="A314" t="s">
        <v>7</v>
      </c>
      <c r="B314" t="s">
        <v>1341</v>
      </c>
      <c r="C314" t="s">
        <v>679</v>
      </c>
      <c r="D314" t="s">
        <v>680</v>
      </c>
      <c r="E314">
        <v>55215</v>
      </c>
      <c r="F314" s="5">
        <v>42080.3825</v>
      </c>
      <c r="G314" t="s">
        <v>680</v>
      </c>
      <c r="H314" s="6">
        <v>-573</v>
      </c>
    </row>
    <row r="315" spans="1:8" hidden="1" x14ac:dyDescent="0.2">
      <c r="A315" s="7" t="s">
        <v>7</v>
      </c>
      <c r="B315" s="7"/>
      <c r="C315" s="7" t="s">
        <v>747</v>
      </c>
      <c r="D315" s="7" t="s">
        <v>748</v>
      </c>
      <c r="E315" s="7">
        <v>208</v>
      </c>
      <c r="F315" s="8">
        <v>42601.694236111114</v>
      </c>
      <c r="G315" s="7" t="s">
        <v>748</v>
      </c>
      <c r="H315" s="9">
        <v>-14</v>
      </c>
    </row>
    <row r="316" spans="1:8" hidden="1" x14ac:dyDescent="0.2">
      <c r="A316" s="7" t="s">
        <v>7</v>
      </c>
      <c r="B316" s="7"/>
      <c r="C316" s="7" t="s">
        <v>749</v>
      </c>
      <c r="D316" s="7" t="s">
        <v>750</v>
      </c>
      <c r="E316" s="7">
        <v>124093</v>
      </c>
      <c r="F316" s="8">
        <v>42156.193472222221</v>
      </c>
      <c r="G316" s="7" t="s">
        <v>750</v>
      </c>
      <c r="H316" s="9">
        <v>-220</v>
      </c>
    </row>
    <row r="317" spans="1:8" hidden="1" x14ac:dyDescent="0.2">
      <c r="A317" s="7" t="s">
        <v>7</v>
      </c>
      <c r="B317" s="7"/>
      <c r="C317" s="7" t="s">
        <v>751</v>
      </c>
      <c r="D317" s="7" t="s">
        <v>752</v>
      </c>
      <c r="E317" s="7">
        <v>156405</v>
      </c>
      <c r="F317" s="8">
        <v>42156.193495370368</v>
      </c>
      <c r="G317" s="7" t="s">
        <v>752</v>
      </c>
      <c r="H317" s="9">
        <v>-391</v>
      </c>
    </row>
    <row r="318" spans="1:8" x14ac:dyDescent="0.2">
      <c r="A318" t="s">
        <v>7</v>
      </c>
      <c r="B318" t="s">
        <v>1350</v>
      </c>
      <c r="C318" t="s">
        <v>527</v>
      </c>
      <c r="D318" t="s">
        <v>38</v>
      </c>
      <c r="E318">
        <v>35550</v>
      </c>
      <c r="F318" s="5">
        <v>42593.65896990741</v>
      </c>
      <c r="G318" t="s">
        <v>38</v>
      </c>
      <c r="H318" s="6">
        <v>-3036</v>
      </c>
    </row>
    <row r="319" spans="1:8" hidden="1" x14ac:dyDescent="0.2">
      <c r="A319" s="7" t="s">
        <v>7</v>
      </c>
      <c r="B319" s="7"/>
      <c r="C319" s="7" t="s">
        <v>756</v>
      </c>
      <c r="D319" s="7" t="s">
        <v>754</v>
      </c>
      <c r="E319" s="7">
        <v>51</v>
      </c>
      <c r="F319" s="8">
        <v>42346.475949074076</v>
      </c>
      <c r="G319" s="7" t="s">
        <v>754</v>
      </c>
      <c r="H319" s="9">
        <v>0</v>
      </c>
    </row>
    <row r="320" spans="1:8" hidden="1" x14ac:dyDescent="0.2">
      <c r="A320" s="7" t="s">
        <v>7</v>
      </c>
      <c r="B320" s="7"/>
      <c r="C320" s="7" t="s">
        <v>757</v>
      </c>
      <c r="D320" s="7" t="s">
        <v>754</v>
      </c>
      <c r="E320" s="7">
        <v>336</v>
      </c>
      <c r="F320" s="8">
        <v>42346.475856481484</v>
      </c>
      <c r="G320" s="7" t="s">
        <v>754</v>
      </c>
      <c r="H320" s="9">
        <v>0</v>
      </c>
    </row>
    <row r="321" spans="1:9" x14ac:dyDescent="0.2">
      <c r="A321" t="s">
        <v>7</v>
      </c>
      <c r="B321" t="s">
        <v>1350</v>
      </c>
      <c r="C321" t="s">
        <v>710</v>
      </c>
      <c r="D321" t="s">
        <v>711</v>
      </c>
      <c r="E321">
        <v>4088469</v>
      </c>
      <c r="F321" s="5">
        <v>42156.192719907405</v>
      </c>
      <c r="G321" t="s">
        <v>711</v>
      </c>
      <c r="H321" s="6">
        <v>-78765</v>
      </c>
    </row>
    <row r="322" spans="1:9" hidden="1" x14ac:dyDescent="0.2">
      <c r="A322" s="7" t="s">
        <v>7</v>
      </c>
      <c r="B322" s="7"/>
      <c r="C322" s="7" t="s">
        <v>760</v>
      </c>
      <c r="D322" s="7" t="s">
        <v>761</v>
      </c>
      <c r="E322" s="7">
        <v>118</v>
      </c>
      <c r="F322" s="8">
        <v>42156.193553240744</v>
      </c>
      <c r="G322" s="7" t="s">
        <v>761</v>
      </c>
      <c r="H322" s="9">
        <v>0</v>
      </c>
    </row>
    <row r="323" spans="1:9" hidden="1" x14ac:dyDescent="0.2">
      <c r="A323" s="7" t="s">
        <v>7</v>
      </c>
      <c r="B323" s="7"/>
      <c r="C323" s="7" t="s">
        <v>762</v>
      </c>
      <c r="D323" s="7" t="s">
        <v>763</v>
      </c>
      <c r="E323" s="7">
        <v>2820382</v>
      </c>
      <c r="F323" s="8">
        <v>42156.193553240744</v>
      </c>
      <c r="G323" s="7" t="s">
        <v>763</v>
      </c>
      <c r="H323" s="9">
        <v>-47891</v>
      </c>
    </row>
    <row r="324" spans="1:9" hidden="1" x14ac:dyDescent="0.2">
      <c r="A324" s="7" t="s">
        <v>7</v>
      </c>
      <c r="B324" s="7"/>
      <c r="C324" s="7" t="s">
        <v>764</v>
      </c>
      <c r="D324" s="7" t="s">
        <v>765</v>
      </c>
      <c r="E324" s="7">
        <v>3162899</v>
      </c>
      <c r="F324" s="8">
        <v>42156.193692129629</v>
      </c>
      <c r="G324" s="7" t="s">
        <v>765</v>
      </c>
      <c r="H324" s="9">
        <v>-56079</v>
      </c>
    </row>
    <row r="325" spans="1:9" hidden="1" x14ac:dyDescent="0.2">
      <c r="A325" s="7" t="s">
        <v>7</v>
      </c>
      <c r="B325" s="7"/>
      <c r="C325" s="7" t="s">
        <v>766</v>
      </c>
      <c r="D325" s="7" t="s">
        <v>767</v>
      </c>
      <c r="E325" s="7">
        <v>35</v>
      </c>
      <c r="F325" s="8">
        <v>42156.193935185183</v>
      </c>
      <c r="G325" s="7" t="s">
        <v>767</v>
      </c>
      <c r="H325" s="9">
        <v>0</v>
      </c>
    </row>
    <row r="326" spans="1:9" hidden="1" x14ac:dyDescent="0.2">
      <c r="A326" s="7" t="s">
        <v>7</v>
      </c>
      <c r="B326" s="7"/>
      <c r="C326" s="7" t="s">
        <v>768</v>
      </c>
      <c r="D326" s="7" t="s">
        <v>769</v>
      </c>
      <c r="E326" s="7">
        <v>41</v>
      </c>
      <c r="F326" s="8">
        <v>42156.193935185183</v>
      </c>
      <c r="G326" s="7" t="s">
        <v>769</v>
      </c>
      <c r="H326" s="9">
        <v>0</v>
      </c>
    </row>
    <row r="327" spans="1:9" hidden="1" x14ac:dyDescent="0.2">
      <c r="A327" s="7" t="s">
        <v>7</v>
      </c>
      <c r="B327" s="7"/>
      <c r="C327" s="7" t="s">
        <v>770</v>
      </c>
      <c r="D327" s="7" t="s">
        <v>771</v>
      </c>
      <c r="E327" s="7">
        <v>778017</v>
      </c>
      <c r="F327" s="8">
        <v>42080.382511574076</v>
      </c>
      <c r="G327" s="7" t="s">
        <v>772</v>
      </c>
      <c r="H327" s="9">
        <v>-20525</v>
      </c>
    </row>
    <row r="328" spans="1:9" x14ac:dyDescent="0.2">
      <c r="A328" t="s">
        <v>7</v>
      </c>
      <c r="B328" t="s">
        <v>1350</v>
      </c>
      <c r="C328" t="s">
        <v>727</v>
      </c>
      <c r="D328" t="s">
        <v>728</v>
      </c>
      <c r="E328">
        <v>27223</v>
      </c>
      <c r="F328" s="5">
        <v>42156.193206018521</v>
      </c>
      <c r="G328" t="s">
        <v>728</v>
      </c>
      <c r="H328" s="6">
        <v>-303</v>
      </c>
    </row>
    <row r="329" spans="1:9" hidden="1" x14ac:dyDescent="0.2">
      <c r="A329" s="7" t="s">
        <v>7</v>
      </c>
      <c r="B329" s="7"/>
      <c r="C329" s="7" t="s">
        <v>775</v>
      </c>
      <c r="D329" s="7" t="s">
        <v>774</v>
      </c>
      <c r="E329" s="7">
        <v>93</v>
      </c>
      <c r="F329" s="8">
        <v>42509.800300925926</v>
      </c>
      <c r="G329" s="7" t="s">
        <v>774</v>
      </c>
      <c r="H329" s="9">
        <v>-7</v>
      </c>
    </row>
    <row r="330" spans="1:9" x14ac:dyDescent="0.2">
      <c r="A330" t="s">
        <v>7</v>
      </c>
      <c r="B330" t="s">
        <v>1350</v>
      </c>
      <c r="C330" t="s">
        <v>23</v>
      </c>
      <c r="D330" t="s">
        <v>24</v>
      </c>
      <c r="E330">
        <v>4961872</v>
      </c>
      <c r="F330" s="5">
        <v>42156.193958333337</v>
      </c>
      <c r="G330" t="s">
        <v>24</v>
      </c>
      <c r="H330" s="6">
        <v>-78796</v>
      </c>
    </row>
    <row r="331" spans="1:9" hidden="1" x14ac:dyDescent="0.2">
      <c r="A331" s="7" t="s">
        <v>7</v>
      </c>
      <c r="B331" s="7"/>
      <c r="C331" s="7" t="s">
        <v>778</v>
      </c>
      <c r="D331" s="7" t="s">
        <v>779</v>
      </c>
      <c r="E331" s="7">
        <v>1242</v>
      </c>
      <c r="F331" s="8">
        <v>42156.193958333337</v>
      </c>
      <c r="G331" s="7" t="s">
        <v>779</v>
      </c>
      <c r="H331" s="9">
        <v>0</v>
      </c>
      <c r="I331" s="7"/>
    </row>
    <row r="332" spans="1:9" hidden="1" x14ac:dyDescent="0.2">
      <c r="A332" s="7" t="s">
        <v>7</v>
      </c>
      <c r="B332" s="7"/>
      <c r="C332" s="7" t="s">
        <v>780</v>
      </c>
      <c r="D332" s="7" t="s">
        <v>781</v>
      </c>
      <c r="E332" s="7">
        <v>4986</v>
      </c>
      <c r="F332" s="8">
        <v>42156.193958333337</v>
      </c>
      <c r="G332" s="7" t="s">
        <v>781</v>
      </c>
      <c r="H332" s="9">
        <v>-19</v>
      </c>
      <c r="I332" s="7"/>
    </row>
    <row r="333" spans="1:9" x14ac:dyDescent="0.2">
      <c r="A333" t="s">
        <v>7</v>
      </c>
      <c r="B333" t="s">
        <v>1350</v>
      </c>
      <c r="C333" t="s">
        <v>25</v>
      </c>
      <c r="D333" t="s">
        <v>26</v>
      </c>
      <c r="E333">
        <v>2962097</v>
      </c>
      <c r="F333" s="5">
        <v>42156.195648148147</v>
      </c>
      <c r="G333" t="s">
        <v>26</v>
      </c>
      <c r="H333" s="6">
        <v>-42009</v>
      </c>
    </row>
    <row r="334" spans="1:9" s="7" customFormat="1" hidden="1" x14ac:dyDescent="0.2">
      <c r="A334" s="7" t="s">
        <v>7</v>
      </c>
      <c r="C334" s="7" t="s">
        <v>784</v>
      </c>
      <c r="D334" s="7" t="s">
        <v>24</v>
      </c>
      <c r="E334" s="7">
        <v>1720708</v>
      </c>
      <c r="F334" s="8">
        <v>42156.194872685184</v>
      </c>
      <c r="G334" s="7" t="s">
        <v>24</v>
      </c>
      <c r="H334" s="9">
        <v>-13399</v>
      </c>
    </row>
    <row r="335" spans="1:9" x14ac:dyDescent="0.2">
      <c r="A335" t="s">
        <v>7</v>
      </c>
      <c r="B335" t="s">
        <v>1350</v>
      </c>
      <c r="C335" t="s">
        <v>788</v>
      </c>
      <c r="D335" t="s">
        <v>789</v>
      </c>
      <c r="E335">
        <v>1688840</v>
      </c>
      <c r="F335" s="5">
        <v>42192.751574074071</v>
      </c>
      <c r="G335" t="s">
        <v>789</v>
      </c>
      <c r="H335" s="6">
        <v>-28562</v>
      </c>
    </row>
    <row r="336" spans="1:9" s="7" customFormat="1" hidden="1" x14ac:dyDescent="0.2">
      <c r="A336" s="7" t="s">
        <v>7</v>
      </c>
      <c r="C336" s="7" t="s">
        <v>785</v>
      </c>
      <c r="D336" s="7" t="s">
        <v>24</v>
      </c>
      <c r="E336" s="7">
        <v>1146569</v>
      </c>
      <c r="F336" s="8">
        <v>42326.969444444447</v>
      </c>
      <c r="G336" s="7" t="s">
        <v>24</v>
      </c>
      <c r="H336" s="9">
        <v>0</v>
      </c>
    </row>
    <row r="337" spans="1:8" s="7" customFormat="1" hidden="1" x14ac:dyDescent="0.2">
      <c r="A337" s="7" t="s">
        <v>7</v>
      </c>
      <c r="C337" s="7" t="s">
        <v>786</v>
      </c>
      <c r="D337" s="7" t="s">
        <v>787</v>
      </c>
      <c r="E337" s="7">
        <v>3412102</v>
      </c>
      <c r="F337" s="8">
        <v>42241.667974537035</v>
      </c>
      <c r="G337" s="7" t="s">
        <v>787</v>
      </c>
      <c r="H337" s="9">
        <v>0</v>
      </c>
    </row>
    <row r="338" spans="1:8" x14ac:dyDescent="0.2">
      <c r="A338" t="s">
        <v>7</v>
      </c>
      <c r="B338" t="s">
        <v>1350</v>
      </c>
      <c r="C338" t="s">
        <v>835</v>
      </c>
      <c r="D338" t="s">
        <v>836</v>
      </c>
      <c r="E338">
        <v>12945</v>
      </c>
      <c r="F338" s="5">
        <v>42156.20484953704</v>
      </c>
      <c r="G338" t="s">
        <v>836</v>
      </c>
      <c r="H338" s="6">
        <v>-113</v>
      </c>
    </row>
    <row r="339" spans="1:8" s="7" customFormat="1" hidden="1" x14ac:dyDescent="0.2">
      <c r="A339" s="7" t="s">
        <v>7</v>
      </c>
      <c r="C339" s="7" t="s">
        <v>790</v>
      </c>
      <c r="D339" s="7" t="s">
        <v>791</v>
      </c>
      <c r="E339" s="7">
        <v>1140704</v>
      </c>
      <c r="F339" s="8">
        <v>42156.196145833332</v>
      </c>
      <c r="G339" s="7" t="s">
        <v>791</v>
      </c>
      <c r="H339" s="9">
        <v>-1143</v>
      </c>
    </row>
    <row r="340" spans="1:8" x14ac:dyDescent="0.2">
      <c r="A340" t="s">
        <v>7</v>
      </c>
      <c r="B340" t="s">
        <v>1350</v>
      </c>
      <c r="C340" t="s">
        <v>837</v>
      </c>
      <c r="D340" t="s">
        <v>838</v>
      </c>
      <c r="E340">
        <v>1001414</v>
      </c>
      <c r="F340" s="5">
        <v>42156.20484953704</v>
      </c>
      <c r="G340" t="s">
        <v>838</v>
      </c>
      <c r="H340" s="6">
        <v>-23170</v>
      </c>
    </row>
    <row r="341" spans="1:8" s="7" customFormat="1" hidden="1" x14ac:dyDescent="0.2">
      <c r="A341" s="7" t="s">
        <v>7</v>
      </c>
      <c r="C341" s="7" t="s">
        <v>794</v>
      </c>
      <c r="D341" s="7" t="s">
        <v>795</v>
      </c>
      <c r="E341" s="7">
        <v>10048779</v>
      </c>
      <c r="F341" s="8">
        <v>42156.197233796294</v>
      </c>
      <c r="G341" s="7" t="s">
        <v>795</v>
      </c>
      <c r="H341" s="9">
        <v>-231051</v>
      </c>
    </row>
    <row r="342" spans="1:8" s="7" customFormat="1" hidden="1" x14ac:dyDescent="0.2">
      <c r="A342" s="7" t="s">
        <v>7</v>
      </c>
      <c r="C342" s="7" t="s">
        <v>798</v>
      </c>
      <c r="D342" s="7" t="s">
        <v>799</v>
      </c>
      <c r="E342" s="7">
        <v>228810</v>
      </c>
      <c r="F342" s="8">
        <v>42156.198379629626</v>
      </c>
      <c r="G342" s="7" t="s">
        <v>799</v>
      </c>
      <c r="H342" s="9">
        <v>-2432</v>
      </c>
    </row>
    <row r="343" spans="1:8" s="7" customFormat="1" hidden="1" x14ac:dyDescent="0.2">
      <c r="A343" s="7" t="s">
        <v>7</v>
      </c>
      <c r="C343" s="7" t="s">
        <v>800</v>
      </c>
      <c r="D343" s="7" t="s">
        <v>801</v>
      </c>
      <c r="E343" s="7">
        <v>21257</v>
      </c>
      <c r="F343" s="8">
        <v>42495.678379629629</v>
      </c>
      <c r="G343" s="7" t="s">
        <v>801</v>
      </c>
      <c r="H343" s="9">
        <v>-87</v>
      </c>
    </row>
    <row r="344" spans="1:8" s="7" customFormat="1" hidden="1" x14ac:dyDescent="0.2">
      <c r="A344" s="7" t="s">
        <v>7</v>
      </c>
      <c r="C344" s="7" t="s">
        <v>804</v>
      </c>
      <c r="D344" s="7" t="s">
        <v>805</v>
      </c>
      <c r="E344" s="7">
        <v>121452058</v>
      </c>
      <c r="F344" s="8">
        <v>42080.382511574076</v>
      </c>
      <c r="G344" s="7" t="s">
        <v>806</v>
      </c>
      <c r="H344" s="9">
        <v>0</v>
      </c>
    </row>
    <row r="345" spans="1:8" s="7" customFormat="1" hidden="1" x14ac:dyDescent="0.2">
      <c r="A345" s="7" t="s">
        <v>7</v>
      </c>
      <c r="C345" s="7" t="s">
        <v>807</v>
      </c>
      <c r="D345" s="7" t="s">
        <v>805</v>
      </c>
      <c r="E345" s="7">
        <v>1431</v>
      </c>
      <c r="F345" s="8">
        <v>42377.694050925929</v>
      </c>
      <c r="G345" s="7" t="s">
        <v>805</v>
      </c>
      <c r="H345" s="9">
        <v>0</v>
      </c>
    </row>
    <row r="346" spans="1:8" s="7" customFormat="1" hidden="1" x14ac:dyDescent="0.2">
      <c r="A346" s="7" t="s">
        <v>7</v>
      </c>
      <c r="C346" s="7" t="s">
        <v>808</v>
      </c>
      <c r="D346" s="7" t="s">
        <v>809</v>
      </c>
      <c r="E346" s="7">
        <v>67114</v>
      </c>
      <c r="F346" s="8">
        <v>42156.204618055555</v>
      </c>
      <c r="G346" s="7" t="s">
        <v>809</v>
      </c>
      <c r="H346" s="9">
        <v>-93</v>
      </c>
    </row>
    <row r="347" spans="1:8" s="7" customFormat="1" hidden="1" x14ac:dyDescent="0.2">
      <c r="A347" s="7" t="s">
        <v>7</v>
      </c>
      <c r="C347" s="7" t="s">
        <v>810</v>
      </c>
      <c r="D347" s="7" t="s">
        <v>811</v>
      </c>
      <c r="E347" s="7">
        <v>146800</v>
      </c>
      <c r="F347" s="8">
        <v>42080.382511574076</v>
      </c>
      <c r="G347" s="7" t="s">
        <v>812</v>
      </c>
      <c r="H347" s="9">
        <v>0</v>
      </c>
    </row>
    <row r="348" spans="1:8" s="7" customFormat="1" hidden="1" x14ac:dyDescent="0.2">
      <c r="A348" s="7" t="s">
        <v>7</v>
      </c>
      <c r="C348" s="7" t="s">
        <v>813</v>
      </c>
      <c r="D348" s="7" t="s">
        <v>814</v>
      </c>
      <c r="E348" s="7">
        <v>3416475</v>
      </c>
      <c r="F348" s="8">
        <v>42156.204652777778</v>
      </c>
      <c r="G348" s="7" t="s">
        <v>814</v>
      </c>
      <c r="H348" s="9">
        <v>-78794</v>
      </c>
    </row>
    <row r="349" spans="1:8" s="7" customFormat="1" hidden="1" x14ac:dyDescent="0.2">
      <c r="A349" s="7" t="s">
        <v>7</v>
      </c>
      <c r="C349" s="7" t="s">
        <v>815</v>
      </c>
      <c r="D349" s="7" t="s">
        <v>816</v>
      </c>
      <c r="E349" s="7">
        <v>78</v>
      </c>
      <c r="F349" s="8">
        <v>42156.204710648148</v>
      </c>
      <c r="G349" s="7" t="s">
        <v>816</v>
      </c>
      <c r="H349" s="9">
        <v>-1</v>
      </c>
    </row>
    <row r="350" spans="1:8" hidden="1" x14ac:dyDescent="0.2">
      <c r="A350" s="7" t="s">
        <v>7</v>
      </c>
      <c r="B350" s="7"/>
      <c r="C350" s="7" t="s">
        <v>817</v>
      </c>
      <c r="D350" s="7" t="s">
        <v>818</v>
      </c>
      <c r="E350" s="7">
        <v>1568268</v>
      </c>
      <c r="F350" s="8">
        <v>42565.585266203707</v>
      </c>
      <c r="G350" s="7" t="s">
        <v>818</v>
      </c>
      <c r="H350" s="9">
        <v>-94655</v>
      </c>
    </row>
    <row r="351" spans="1:8" hidden="1" x14ac:dyDescent="0.2">
      <c r="A351" s="7" t="s">
        <v>7</v>
      </c>
      <c r="B351" s="7"/>
      <c r="C351" s="7" t="s">
        <v>819</v>
      </c>
      <c r="D351" s="7" t="s">
        <v>820</v>
      </c>
      <c r="E351" s="7">
        <v>4329</v>
      </c>
      <c r="F351" s="8">
        <v>42617.95453703704</v>
      </c>
      <c r="G351" s="7" t="s">
        <v>820</v>
      </c>
      <c r="H351" s="9">
        <v>65</v>
      </c>
    </row>
    <row r="352" spans="1:8" hidden="1" x14ac:dyDescent="0.2">
      <c r="A352" s="7" t="s">
        <v>7</v>
      </c>
      <c r="B352" s="7"/>
      <c r="C352" s="7" t="s">
        <v>821</v>
      </c>
      <c r="D352" s="7" t="s">
        <v>822</v>
      </c>
      <c r="E352" s="7">
        <v>11884</v>
      </c>
      <c r="F352" s="8">
        <v>42156.204710648148</v>
      </c>
      <c r="G352" s="7" t="s">
        <v>822</v>
      </c>
      <c r="H352" s="9">
        <v>-11</v>
      </c>
    </row>
    <row r="353" spans="1:8" s="7" customFormat="1" hidden="1" x14ac:dyDescent="0.2">
      <c r="A353" s="7" t="s">
        <v>7</v>
      </c>
      <c r="C353" s="7" t="s">
        <v>823</v>
      </c>
      <c r="D353" s="7" t="s">
        <v>824</v>
      </c>
      <c r="E353" s="7">
        <v>13620</v>
      </c>
      <c r="F353" s="8">
        <v>42156.204722222225</v>
      </c>
      <c r="G353" s="7" t="s">
        <v>824</v>
      </c>
      <c r="H353" s="9">
        <v>-373</v>
      </c>
    </row>
    <row r="354" spans="1:8" s="7" customFormat="1" hidden="1" x14ac:dyDescent="0.2">
      <c r="A354" s="7" t="s">
        <v>7</v>
      </c>
      <c r="C354" s="7" t="s">
        <v>825</v>
      </c>
      <c r="D354" s="7" t="s">
        <v>826</v>
      </c>
      <c r="E354" s="7">
        <v>19758</v>
      </c>
      <c r="F354" s="8">
        <v>42156.204722222225</v>
      </c>
      <c r="G354" s="7" t="s">
        <v>826</v>
      </c>
      <c r="H354" s="9">
        <v>-39</v>
      </c>
    </row>
    <row r="355" spans="1:8" x14ac:dyDescent="0.2">
      <c r="A355" t="s">
        <v>7</v>
      </c>
      <c r="B355" t="s">
        <v>1350</v>
      </c>
      <c r="C355" t="s">
        <v>850</v>
      </c>
      <c r="D355" t="s">
        <v>851</v>
      </c>
      <c r="E355">
        <v>39669</v>
      </c>
      <c r="F355" s="5">
        <v>42156.204976851855</v>
      </c>
      <c r="G355" t="s">
        <v>851</v>
      </c>
      <c r="H355" s="6">
        <v>-113</v>
      </c>
    </row>
    <row r="356" spans="1:8" s="7" customFormat="1" hidden="1" x14ac:dyDescent="0.2">
      <c r="A356" s="7" t="s">
        <v>7</v>
      </c>
      <c r="C356" s="7" t="s">
        <v>829</v>
      </c>
      <c r="D356" s="7" t="s">
        <v>830</v>
      </c>
      <c r="E356" s="7">
        <v>65743</v>
      </c>
      <c r="F356" s="8">
        <v>42156.204826388886</v>
      </c>
      <c r="G356" s="7" t="s">
        <v>830</v>
      </c>
      <c r="H356" s="9">
        <v>-206</v>
      </c>
    </row>
    <row r="357" spans="1:8" s="7" customFormat="1" hidden="1" x14ac:dyDescent="0.2">
      <c r="A357" s="7" t="s">
        <v>7</v>
      </c>
      <c r="C357" s="7" t="s">
        <v>831</v>
      </c>
      <c r="D357" s="7" t="s">
        <v>832</v>
      </c>
      <c r="E357" s="7">
        <v>4812</v>
      </c>
      <c r="F357" s="8">
        <v>42482.921342592592</v>
      </c>
      <c r="G357" s="7" t="s">
        <v>832</v>
      </c>
      <c r="H357" s="9">
        <v>-333</v>
      </c>
    </row>
    <row r="358" spans="1:8" s="7" customFormat="1" hidden="1" x14ac:dyDescent="0.2">
      <c r="A358" s="7" t="s">
        <v>7</v>
      </c>
      <c r="C358" s="7" t="s">
        <v>833</v>
      </c>
      <c r="D358" s="7" t="s">
        <v>834</v>
      </c>
      <c r="E358" s="7">
        <v>28122</v>
      </c>
      <c r="F358" s="8">
        <v>42156.204837962963</v>
      </c>
      <c r="G358" s="7" t="s">
        <v>834</v>
      </c>
      <c r="H358" s="9">
        <v>-41</v>
      </c>
    </row>
    <row r="359" spans="1:8" x14ac:dyDescent="0.2">
      <c r="A359" t="s">
        <v>7</v>
      </c>
      <c r="B359" t="s">
        <v>1364</v>
      </c>
      <c r="C359" t="s">
        <v>705</v>
      </c>
      <c r="D359" t="s">
        <v>706</v>
      </c>
      <c r="E359">
        <v>59940613</v>
      </c>
      <c r="F359" s="5">
        <v>42080.3825</v>
      </c>
      <c r="G359" t="s">
        <v>707</v>
      </c>
      <c r="H359" s="6">
        <v>-1544599</v>
      </c>
    </row>
    <row r="360" spans="1:8" x14ac:dyDescent="0.2">
      <c r="A360" t="s">
        <v>7</v>
      </c>
      <c r="B360" t="s">
        <v>1364</v>
      </c>
      <c r="C360" t="s">
        <v>792</v>
      </c>
      <c r="D360" t="s">
        <v>793</v>
      </c>
      <c r="E360">
        <v>2725465</v>
      </c>
      <c r="F360" s="5">
        <v>42156.196979166663</v>
      </c>
      <c r="G360" t="s">
        <v>793</v>
      </c>
      <c r="H360" s="6">
        <v>-28250</v>
      </c>
    </row>
    <row r="361" spans="1:8" s="7" customFormat="1" hidden="1" x14ac:dyDescent="0.2">
      <c r="A361" s="7" t="s">
        <v>7</v>
      </c>
      <c r="C361" s="7" t="s">
        <v>839</v>
      </c>
      <c r="D361" s="7" t="s">
        <v>840</v>
      </c>
      <c r="E361" s="7">
        <v>3625</v>
      </c>
      <c r="F361" s="8">
        <v>42156.204930555556</v>
      </c>
      <c r="G361" s="7" t="s">
        <v>840</v>
      </c>
      <c r="H361" s="9">
        <v>-10</v>
      </c>
    </row>
    <row r="362" spans="1:8" s="7" customFormat="1" hidden="1" x14ac:dyDescent="0.2">
      <c r="A362" s="7" t="s">
        <v>7</v>
      </c>
      <c r="C362" s="7" t="s">
        <v>841</v>
      </c>
      <c r="D362" s="7" t="s">
        <v>38</v>
      </c>
      <c r="E362" s="7">
        <v>42</v>
      </c>
      <c r="F362" s="8">
        <v>42156.204930555556</v>
      </c>
      <c r="G362" s="7" t="s">
        <v>38</v>
      </c>
      <c r="H362" s="9">
        <v>0</v>
      </c>
    </row>
    <row r="363" spans="1:8" x14ac:dyDescent="0.2">
      <c r="A363" t="s">
        <v>7</v>
      </c>
      <c r="B363" t="s">
        <v>1318</v>
      </c>
      <c r="C363" t="s">
        <v>58</v>
      </c>
      <c r="D363" t="s">
        <v>38</v>
      </c>
      <c r="E363">
        <v>1896118</v>
      </c>
      <c r="F363" s="5">
        <v>42326.969444444447</v>
      </c>
      <c r="G363" t="s">
        <v>38</v>
      </c>
      <c r="H363" s="6">
        <v>-25163</v>
      </c>
    </row>
    <row r="364" spans="1:8" s="7" customFormat="1" hidden="1" x14ac:dyDescent="0.2">
      <c r="A364" s="7" t="s">
        <v>7</v>
      </c>
      <c r="C364" s="7" t="s">
        <v>844</v>
      </c>
      <c r="D364" s="7" t="s">
        <v>38</v>
      </c>
      <c r="E364" s="7">
        <v>243264</v>
      </c>
      <c r="F364" s="8">
        <v>42438.638495370367</v>
      </c>
      <c r="G364" s="7" t="s">
        <v>38</v>
      </c>
      <c r="H364" s="9">
        <v>-4416</v>
      </c>
    </row>
    <row r="365" spans="1:8" s="7" customFormat="1" hidden="1" x14ac:dyDescent="0.2">
      <c r="A365" s="7" t="s">
        <v>7</v>
      </c>
      <c r="C365" s="7" t="s">
        <v>845</v>
      </c>
      <c r="D365" s="7" t="s">
        <v>846</v>
      </c>
      <c r="E365" s="7">
        <v>167811</v>
      </c>
      <c r="F365" s="8">
        <v>42156.204965277779</v>
      </c>
      <c r="G365" s="7" t="s">
        <v>846</v>
      </c>
      <c r="H365" s="9">
        <v>-4</v>
      </c>
    </row>
    <row r="366" spans="1:8" s="7" customFormat="1" hidden="1" x14ac:dyDescent="0.2">
      <c r="A366" s="7" t="s">
        <v>7</v>
      </c>
      <c r="C366" s="7" t="s">
        <v>847</v>
      </c>
      <c r="D366" s="7" t="s">
        <v>848</v>
      </c>
      <c r="E366" s="7">
        <v>76994</v>
      </c>
      <c r="F366" s="8">
        <v>42156.204965277779</v>
      </c>
      <c r="G366" s="7" t="s">
        <v>848</v>
      </c>
      <c r="H366" s="9">
        <v>573</v>
      </c>
    </row>
    <row r="367" spans="1:8" s="7" customFormat="1" hidden="1" x14ac:dyDescent="0.2">
      <c r="A367" s="7" t="s">
        <v>7</v>
      </c>
      <c r="C367" s="7" t="s">
        <v>849</v>
      </c>
      <c r="D367" s="7" t="s">
        <v>38</v>
      </c>
      <c r="E367" s="7">
        <v>31005</v>
      </c>
      <c r="F367" s="8">
        <v>42362.660937499997</v>
      </c>
      <c r="G367" s="7" t="s">
        <v>38</v>
      </c>
      <c r="H367" s="9">
        <v>0</v>
      </c>
    </row>
    <row r="368" spans="1:8" x14ac:dyDescent="0.2">
      <c r="A368" t="s">
        <v>7</v>
      </c>
      <c r="B368" t="s">
        <v>1374</v>
      </c>
      <c r="C368" t="s">
        <v>387</v>
      </c>
      <c r="D368" t="s">
        <v>388</v>
      </c>
      <c r="E368">
        <v>144</v>
      </c>
      <c r="F368" s="5">
        <v>42080.382337962961</v>
      </c>
      <c r="G368" t="s">
        <v>388</v>
      </c>
      <c r="H368" s="6">
        <v>-1</v>
      </c>
    </row>
    <row r="369" spans="1:8" x14ac:dyDescent="0.2">
      <c r="A369" t="s">
        <v>7</v>
      </c>
      <c r="B369" t="s">
        <v>1374</v>
      </c>
      <c r="C369" t="s">
        <v>389</v>
      </c>
      <c r="D369" t="s">
        <v>390</v>
      </c>
      <c r="E369">
        <v>252980</v>
      </c>
      <c r="F369" s="5">
        <v>42080.382337962961</v>
      </c>
      <c r="G369" t="s">
        <v>390</v>
      </c>
      <c r="H369" s="6">
        <v>27222</v>
      </c>
    </row>
    <row r="370" spans="1:8" s="7" customFormat="1" hidden="1" x14ac:dyDescent="0.2">
      <c r="A370" s="7" t="s">
        <v>7</v>
      </c>
      <c r="C370" s="7" t="s">
        <v>860</v>
      </c>
      <c r="D370" s="7" t="s">
        <v>38</v>
      </c>
      <c r="E370" s="7">
        <v>2598</v>
      </c>
      <c r="F370" s="8">
        <v>42541.846284722225</v>
      </c>
      <c r="G370" s="7" t="s">
        <v>38</v>
      </c>
      <c r="H370" s="9">
        <v>0</v>
      </c>
    </row>
    <row r="371" spans="1:8" s="7" customFormat="1" hidden="1" x14ac:dyDescent="0.2">
      <c r="A371" s="7" t="s">
        <v>7</v>
      </c>
      <c r="C371" s="7" t="s">
        <v>861</v>
      </c>
      <c r="D371" s="7" t="s">
        <v>38</v>
      </c>
      <c r="E371" s="7">
        <v>6663</v>
      </c>
      <c r="F371" s="8">
        <v>42618.547881944447</v>
      </c>
      <c r="G371" s="7" t="s">
        <v>38</v>
      </c>
      <c r="H371" s="9">
        <v>0</v>
      </c>
    </row>
    <row r="372" spans="1:8" s="7" customFormat="1" hidden="1" x14ac:dyDescent="0.2">
      <c r="A372" s="7" t="s">
        <v>7</v>
      </c>
      <c r="C372" s="7" t="s">
        <v>862</v>
      </c>
      <c r="D372" s="7" t="s">
        <v>863</v>
      </c>
      <c r="E372" s="7">
        <v>382949</v>
      </c>
      <c r="F372" s="8">
        <v>42156.205011574071</v>
      </c>
      <c r="G372" s="7" t="s">
        <v>863</v>
      </c>
      <c r="H372" s="9">
        <v>-5304</v>
      </c>
    </row>
    <row r="373" spans="1:8" s="7" customFormat="1" hidden="1" x14ac:dyDescent="0.2">
      <c r="A373" s="7" t="s">
        <v>7</v>
      </c>
      <c r="B373" s="7" t="s">
        <v>1345</v>
      </c>
      <c r="C373" s="7" t="s">
        <v>864</v>
      </c>
      <c r="D373" s="7" t="s">
        <v>865</v>
      </c>
      <c r="E373" s="7">
        <v>1930</v>
      </c>
      <c r="F373" s="8">
        <v>42391.565729166665</v>
      </c>
      <c r="G373" s="7" t="s">
        <v>865</v>
      </c>
      <c r="H373" s="9">
        <v>-18</v>
      </c>
    </row>
    <row r="374" spans="1:8" x14ac:dyDescent="0.2">
      <c r="A374" t="s">
        <v>7</v>
      </c>
      <c r="B374" t="s">
        <v>1356</v>
      </c>
      <c r="C374" t="s">
        <v>425</v>
      </c>
      <c r="D374" t="s">
        <v>426</v>
      </c>
      <c r="E374">
        <v>82324284</v>
      </c>
      <c r="F374" s="5">
        <v>42080.382361111115</v>
      </c>
      <c r="G374" t="s">
        <v>427</v>
      </c>
      <c r="H374" s="6">
        <v>497349</v>
      </c>
    </row>
    <row r="375" spans="1:8" hidden="1" x14ac:dyDescent="0.2">
      <c r="A375" s="7" t="s">
        <v>7</v>
      </c>
      <c r="B375" s="7"/>
      <c r="C375" s="7" t="s">
        <v>869</v>
      </c>
      <c r="D375" s="7" t="s">
        <v>870</v>
      </c>
      <c r="E375" s="7">
        <v>1411</v>
      </c>
      <c r="F375" s="8">
        <v>42080.382523148146</v>
      </c>
      <c r="G375" s="7" t="s">
        <v>871</v>
      </c>
      <c r="H375" s="9">
        <v>0</v>
      </c>
    </row>
    <row r="376" spans="1:8" hidden="1" x14ac:dyDescent="0.2">
      <c r="A376" s="7" t="s">
        <v>7</v>
      </c>
      <c r="B376" s="7"/>
      <c r="C376" s="7" t="s">
        <v>872</v>
      </c>
      <c r="D376" s="7" t="s">
        <v>873</v>
      </c>
      <c r="E376" s="7">
        <v>23618</v>
      </c>
      <c r="F376" s="8">
        <v>42080.382523148146</v>
      </c>
      <c r="G376" s="7" t="s">
        <v>874</v>
      </c>
      <c r="H376" s="9">
        <v>0</v>
      </c>
    </row>
    <row r="377" spans="1:8" hidden="1" x14ac:dyDescent="0.2">
      <c r="A377" s="7" t="s">
        <v>7</v>
      </c>
      <c r="B377" s="7"/>
      <c r="C377" s="7" t="s">
        <v>884</v>
      </c>
      <c r="D377" s="7" t="s">
        <v>38</v>
      </c>
      <c r="E377" s="7">
        <v>2000</v>
      </c>
      <c r="F377" s="8">
        <v>42188.741643518515</v>
      </c>
      <c r="G377" s="7" t="s">
        <v>38</v>
      </c>
      <c r="H377" s="9">
        <v>0</v>
      </c>
    </row>
    <row r="378" spans="1:8" x14ac:dyDescent="0.2">
      <c r="A378" t="s">
        <v>7</v>
      </c>
      <c r="B378" t="s">
        <v>1356</v>
      </c>
      <c r="C378" t="s">
        <v>428</v>
      </c>
      <c r="D378" t="s">
        <v>429</v>
      </c>
      <c r="E378">
        <v>200</v>
      </c>
      <c r="F378" s="5">
        <v>42156.182002314818</v>
      </c>
      <c r="G378" t="s">
        <v>429</v>
      </c>
      <c r="H378" s="6">
        <v>0</v>
      </c>
    </row>
    <row r="379" spans="1:8" x14ac:dyDescent="0.2">
      <c r="A379" t="s">
        <v>7</v>
      </c>
      <c r="B379" t="s">
        <v>1356</v>
      </c>
      <c r="C379" t="s">
        <v>430</v>
      </c>
      <c r="D379" t="s">
        <v>431</v>
      </c>
      <c r="E379">
        <v>557</v>
      </c>
      <c r="F379" s="5">
        <v>42156.182002314818</v>
      </c>
      <c r="G379" t="s">
        <v>431</v>
      </c>
      <c r="H379" s="6">
        <v>0</v>
      </c>
    </row>
    <row r="380" spans="1:8" s="7" customFormat="1" hidden="1" x14ac:dyDescent="0.2">
      <c r="A380" s="7" t="s">
        <v>7</v>
      </c>
      <c r="C380" s="7" t="s">
        <v>889</v>
      </c>
      <c r="D380" s="7" t="s">
        <v>890</v>
      </c>
      <c r="E380" s="7">
        <v>2192</v>
      </c>
      <c r="F380" s="8">
        <v>42080.382534722223</v>
      </c>
      <c r="G380" s="7" t="s">
        <v>891</v>
      </c>
      <c r="H380" s="9">
        <v>0</v>
      </c>
    </row>
    <row r="381" spans="1:8" x14ac:dyDescent="0.2">
      <c r="A381" t="s">
        <v>7</v>
      </c>
      <c r="B381" t="s">
        <v>1356</v>
      </c>
      <c r="C381" t="s">
        <v>445</v>
      </c>
      <c r="D381" t="s">
        <v>446</v>
      </c>
      <c r="E381">
        <v>51</v>
      </c>
      <c r="F381" s="5">
        <v>42080.382372685184</v>
      </c>
      <c r="G381" t="s">
        <v>446</v>
      </c>
      <c r="H381" s="6">
        <v>0</v>
      </c>
    </row>
    <row r="382" spans="1:8" x14ac:dyDescent="0.2">
      <c r="A382" t="s">
        <v>7</v>
      </c>
      <c r="B382" t="s">
        <v>1358</v>
      </c>
      <c r="C382" t="s">
        <v>418</v>
      </c>
      <c r="D382" t="s">
        <v>419</v>
      </c>
      <c r="E382">
        <v>10227650</v>
      </c>
      <c r="F382" s="5">
        <v>42080.382361111115</v>
      </c>
      <c r="G382" t="s">
        <v>420</v>
      </c>
      <c r="H382" s="6">
        <v>-159334</v>
      </c>
    </row>
    <row r="383" spans="1:8" s="7" customFormat="1" hidden="1" x14ac:dyDescent="0.2">
      <c r="A383" s="7" t="s">
        <v>7</v>
      </c>
      <c r="C383" s="7" t="s">
        <v>897</v>
      </c>
      <c r="D383" s="7" t="s">
        <v>898</v>
      </c>
      <c r="E383" s="7">
        <v>169465</v>
      </c>
      <c r="F383" s="8">
        <v>42450.692754629628</v>
      </c>
      <c r="G383" s="7" t="s">
        <v>898</v>
      </c>
      <c r="H383" s="9">
        <v>-8033</v>
      </c>
    </row>
    <row r="384" spans="1:8" s="7" customFormat="1" hidden="1" x14ac:dyDescent="0.2">
      <c r="A384" s="7" t="s">
        <v>7</v>
      </c>
      <c r="C384" s="7" t="s">
        <v>899</v>
      </c>
      <c r="D384" s="7" t="s">
        <v>900</v>
      </c>
      <c r="E384" s="7">
        <v>34</v>
      </c>
      <c r="F384" s="8">
        <v>42243.805601851855</v>
      </c>
      <c r="G384" s="7" t="s">
        <v>900</v>
      </c>
      <c r="H384" s="9">
        <v>0</v>
      </c>
    </row>
    <row r="385" spans="1:8" s="7" customFormat="1" hidden="1" x14ac:dyDescent="0.2">
      <c r="A385" s="7" t="s">
        <v>901</v>
      </c>
      <c r="C385" s="7" t="s">
        <v>902</v>
      </c>
      <c r="D385" s="7" t="s">
        <v>38</v>
      </c>
      <c r="E385" s="7">
        <v>149</v>
      </c>
      <c r="F385" s="8">
        <v>42475.552731481483</v>
      </c>
      <c r="G385" s="7" t="s">
        <v>38</v>
      </c>
      <c r="H385" s="9">
        <v>0</v>
      </c>
    </row>
    <row r="386" spans="1:8" s="7" customFormat="1" hidden="1" x14ac:dyDescent="0.2">
      <c r="A386" s="7" t="s">
        <v>901</v>
      </c>
      <c r="C386" s="7" t="s">
        <v>903</v>
      </c>
      <c r="D386" s="7" t="s">
        <v>38</v>
      </c>
      <c r="E386" s="7">
        <v>350598</v>
      </c>
      <c r="F386" s="8">
        <v>42475.552731481483</v>
      </c>
      <c r="G386" s="7" t="s">
        <v>38</v>
      </c>
      <c r="H386" s="9">
        <v>-1409</v>
      </c>
    </row>
    <row r="387" spans="1:8" s="7" customFormat="1" hidden="1" x14ac:dyDescent="0.2">
      <c r="A387" s="7" t="s">
        <v>901</v>
      </c>
      <c r="C387" s="7" t="s">
        <v>904</v>
      </c>
      <c r="D387" s="7" t="s">
        <v>38</v>
      </c>
      <c r="E387" s="7">
        <v>61</v>
      </c>
      <c r="F387" s="8">
        <v>42520.665949074071</v>
      </c>
      <c r="G387" s="7" t="s">
        <v>38</v>
      </c>
      <c r="H387" s="9">
        <v>0</v>
      </c>
    </row>
    <row r="388" spans="1:8" s="7" customFormat="1" hidden="1" x14ac:dyDescent="0.2">
      <c r="A388" s="7" t="s">
        <v>901</v>
      </c>
      <c r="C388" s="7" t="s">
        <v>905</v>
      </c>
      <c r="D388" s="7" t="s">
        <v>38</v>
      </c>
      <c r="E388" s="7">
        <v>3167330</v>
      </c>
      <c r="F388" s="8">
        <v>42475.552731481483</v>
      </c>
      <c r="G388" s="7" t="s">
        <v>38</v>
      </c>
      <c r="H388" s="9">
        <v>-65975</v>
      </c>
    </row>
    <row r="389" spans="1:8" x14ac:dyDescent="0.2">
      <c r="A389" t="s">
        <v>7</v>
      </c>
      <c r="B389" t="s">
        <v>1357</v>
      </c>
      <c r="C389" t="s">
        <v>448</v>
      </c>
      <c r="D389" t="s">
        <v>449</v>
      </c>
      <c r="E389">
        <v>57629</v>
      </c>
      <c r="F389" s="5">
        <v>42080.382372685184</v>
      </c>
      <c r="G389" t="s">
        <v>449</v>
      </c>
      <c r="H389" s="6">
        <v>-13</v>
      </c>
    </row>
    <row r="390" spans="1:8" x14ac:dyDescent="0.2">
      <c r="A390" t="s">
        <v>7</v>
      </c>
      <c r="B390" t="s">
        <v>1358</v>
      </c>
      <c r="C390" t="s">
        <v>857</v>
      </c>
      <c r="D390" t="s">
        <v>858</v>
      </c>
      <c r="E390">
        <v>382077</v>
      </c>
      <c r="F390" s="5">
        <v>42080.382523148146</v>
      </c>
      <c r="G390" t="s">
        <v>859</v>
      </c>
      <c r="H390" s="6">
        <v>-8381</v>
      </c>
    </row>
    <row r="391" spans="1:8" s="7" customFormat="1" hidden="1" x14ac:dyDescent="0.2">
      <c r="A391" s="7" t="s">
        <v>909</v>
      </c>
      <c r="C391" s="7" t="s">
        <v>910</v>
      </c>
      <c r="D391" s="7" t="s">
        <v>911</v>
      </c>
      <c r="E391" s="7">
        <v>4381</v>
      </c>
      <c r="F391" s="8">
        <v>42532.911527777775</v>
      </c>
      <c r="G391" s="7" t="s">
        <v>911</v>
      </c>
      <c r="H391" s="9">
        <v>0</v>
      </c>
    </row>
    <row r="392" spans="1:8" s="7" customFormat="1" hidden="1" x14ac:dyDescent="0.2">
      <c r="A392" s="7" t="s">
        <v>909</v>
      </c>
      <c r="C392" s="7" t="s">
        <v>912</v>
      </c>
      <c r="D392" s="7" t="s">
        <v>913</v>
      </c>
      <c r="E392" s="7">
        <v>4814</v>
      </c>
      <c r="F392" s="8">
        <v>42532.911527777775</v>
      </c>
      <c r="G392" s="7" t="s">
        <v>913</v>
      </c>
      <c r="H392" s="9">
        <v>0</v>
      </c>
    </row>
    <row r="393" spans="1:8" s="7" customFormat="1" hidden="1" x14ac:dyDescent="0.2">
      <c r="A393" s="7" t="s">
        <v>909</v>
      </c>
      <c r="C393" s="7" t="s">
        <v>916</v>
      </c>
      <c r="D393" s="7" t="s">
        <v>38</v>
      </c>
      <c r="E393" s="7">
        <v>5081</v>
      </c>
      <c r="F393" s="8">
        <v>42532.911527777775</v>
      </c>
      <c r="G393" s="7" t="s">
        <v>38</v>
      </c>
      <c r="H393" s="9">
        <v>0</v>
      </c>
    </row>
    <row r="394" spans="1:8" s="7" customFormat="1" hidden="1" x14ac:dyDescent="0.2">
      <c r="A394" s="7" t="s">
        <v>909</v>
      </c>
      <c r="C394" s="7" t="s">
        <v>922</v>
      </c>
      <c r="D394" s="7" t="s">
        <v>923</v>
      </c>
      <c r="E394" s="7">
        <v>45074</v>
      </c>
      <c r="F394" s="8">
        <v>42532.911527777775</v>
      </c>
      <c r="G394" s="7" t="s">
        <v>923</v>
      </c>
      <c r="H394" s="9">
        <v>930</v>
      </c>
    </row>
    <row r="395" spans="1:8" x14ac:dyDescent="0.2">
      <c r="A395" t="s">
        <v>909</v>
      </c>
      <c r="B395" t="s">
        <v>1432</v>
      </c>
      <c r="C395" t="s">
        <v>924</v>
      </c>
      <c r="D395" t="s">
        <v>925</v>
      </c>
      <c r="E395">
        <v>13631</v>
      </c>
      <c r="F395" s="5">
        <v>42532.911527777775</v>
      </c>
      <c r="G395" t="s">
        <v>925</v>
      </c>
      <c r="H395" s="6">
        <v>50</v>
      </c>
    </row>
    <row r="396" spans="1:8" x14ac:dyDescent="0.2">
      <c r="A396" t="s">
        <v>909</v>
      </c>
      <c r="B396" t="s">
        <v>1431</v>
      </c>
      <c r="C396" t="s">
        <v>926</v>
      </c>
      <c r="D396" t="s">
        <v>927</v>
      </c>
      <c r="E396">
        <v>106437</v>
      </c>
      <c r="F396" s="5">
        <v>42532.911527777775</v>
      </c>
      <c r="G396" t="s">
        <v>927</v>
      </c>
      <c r="H396" s="6">
        <v>1925</v>
      </c>
    </row>
    <row r="397" spans="1:8" s="7" customFormat="1" hidden="1" x14ac:dyDescent="0.2">
      <c r="A397" s="7" t="s">
        <v>909</v>
      </c>
      <c r="C397" s="7" t="s">
        <v>928</v>
      </c>
      <c r="D397" s="7" t="s">
        <v>929</v>
      </c>
      <c r="E397" s="7">
        <v>91804</v>
      </c>
      <c r="F397" s="8">
        <v>42532.911527777775</v>
      </c>
      <c r="G397" s="7" t="s">
        <v>929</v>
      </c>
      <c r="H397" s="9">
        <v>2328</v>
      </c>
    </row>
    <row r="398" spans="1:8" s="7" customFormat="1" hidden="1" x14ac:dyDescent="0.2">
      <c r="A398" s="7" t="s">
        <v>909</v>
      </c>
      <c r="C398" s="7" t="s">
        <v>932</v>
      </c>
      <c r="D398" s="7" t="s">
        <v>933</v>
      </c>
      <c r="E398" s="7">
        <v>4552</v>
      </c>
      <c r="F398" s="8">
        <v>42565.848865740743</v>
      </c>
      <c r="G398" s="7" t="s">
        <v>933</v>
      </c>
      <c r="H398" s="9">
        <v>94</v>
      </c>
    </row>
    <row r="399" spans="1:8" x14ac:dyDescent="0.2">
      <c r="A399" t="s">
        <v>909</v>
      </c>
      <c r="B399" t="s">
        <v>1429</v>
      </c>
      <c r="C399" t="s">
        <v>936</v>
      </c>
      <c r="D399" t="s">
        <v>937</v>
      </c>
      <c r="E399">
        <v>26528</v>
      </c>
      <c r="F399" s="5">
        <v>42532.911527777775</v>
      </c>
      <c r="G399" t="s">
        <v>937</v>
      </c>
      <c r="H399" s="6">
        <v>439</v>
      </c>
    </row>
    <row r="400" spans="1:8" s="7" customFormat="1" hidden="1" x14ac:dyDescent="0.2">
      <c r="A400" s="7" t="s">
        <v>909</v>
      </c>
      <c r="B400" s="7" t="s">
        <v>1429</v>
      </c>
      <c r="C400" s="7" t="s">
        <v>938</v>
      </c>
      <c r="D400" s="7" t="s">
        <v>939</v>
      </c>
      <c r="E400" s="7">
        <v>27302</v>
      </c>
      <c r="F400" s="8">
        <v>42532.911527777775</v>
      </c>
      <c r="G400" s="7" t="s">
        <v>939</v>
      </c>
      <c r="H400" s="9">
        <v>439</v>
      </c>
    </row>
    <row r="401" spans="1:8" s="7" customFormat="1" hidden="1" x14ac:dyDescent="0.2">
      <c r="A401" s="7" t="s">
        <v>909</v>
      </c>
      <c r="C401" s="7" t="s">
        <v>940</v>
      </c>
      <c r="D401" s="7" t="s">
        <v>941</v>
      </c>
      <c r="E401" s="7">
        <v>507</v>
      </c>
      <c r="F401" s="8">
        <v>42600.487025462964</v>
      </c>
      <c r="G401" s="7" t="s">
        <v>941</v>
      </c>
      <c r="H401" s="9">
        <v>17</v>
      </c>
    </row>
    <row r="402" spans="1:8" x14ac:dyDescent="0.2">
      <c r="A402" t="s">
        <v>909</v>
      </c>
      <c r="B402" t="s">
        <v>1429</v>
      </c>
      <c r="C402" t="s">
        <v>942</v>
      </c>
      <c r="D402" t="s">
        <v>943</v>
      </c>
      <c r="E402">
        <v>14182</v>
      </c>
      <c r="F402" s="5">
        <v>42532.911527777775</v>
      </c>
      <c r="G402" t="s">
        <v>943</v>
      </c>
      <c r="H402" s="6">
        <v>-1383</v>
      </c>
    </row>
    <row r="403" spans="1:8" s="7" customFormat="1" hidden="1" x14ac:dyDescent="0.2">
      <c r="A403" s="7" t="s">
        <v>909</v>
      </c>
      <c r="C403" s="7" t="s">
        <v>944</v>
      </c>
      <c r="D403" s="7" t="s">
        <v>945</v>
      </c>
      <c r="E403" s="7">
        <v>30255</v>
      </c>
      <c r="F403" s="8">
        <v>42532.911527777775</v>
      </c>
      <c r="G403" s="7" t="s">
        <v>945</v>
      </c>
      <c r="H403" s="9">
        <v>694</v>
      </c>
    </row>
    <row r="404" spans="1:8" x14ac:dyDescent="0.2">
      <c r="A404" t="s">
        <v>909</v>
      </c>
      <c r="B404" t="s">
        <v>1433</v>
      </c>
      <c r="C404" t="s">
        <v>946</v>
      </c>
      <c r="D404" t="s">
        <v>947</v>
      </c>
      <c r="E404">
        <v>97188</v>
      </c>
      <c r="F404" s="5">
        <v>42532.911527777775</v>
      </c>
      <c r="G404" t="s">
        <v>947</v>
      </c>
      <c r="H404" s="6">
        <v>1896</v>
      </c>
    </row>
    <row r="405" spans="1:8" s="7" customFormat="1" hidden="1" x14ac:dyDescent="0.2">
      <c r="A405" s="7" t="s">
        <v>909</v>
      </c>
      <c r="C405" s="7" t="s">
        <v>948</v>
      </c>
      <c r="D405" s="7" t="s">
        <v>949</v>
      </c>
      <c r="E405" s="7">
        <v>38</v>
      </c>
      <c r="F405" s="8">
        <v>42607.696261574078</v>
      </c>
      <c r="G405" s="7" t="s">
        <v>949</v>
      </c>
      <c r="H405" s="9">
        <v>0</v>
      </c>
    </row>
    <row r="406" spans="1:8" hidden="1" x14ac:dyDescent="0.2">
      <c r="A406" s="7" t="s">
        <v>950</v>
      </c>
      <c r="B406" s="7"/>
      <c r="C406" s="7" t="s">
        <v>951</v>
      </c>
      <c r="D406" s="7" t="s">
        <v>952</v>
      </c>
      <c r="E406" s="7">
        <v>1</v>
      </c>
      <c r="F406" s="8">
        <v>42532.912094907406</v>
      </c>
      <c r="G406" s="7" t="s">
        <v>952</v>
      </c>
      <c r="H406" s="9">
        <v>0</v>
      </c>
    </row>
    <row r="407" spans="1:8" x14ac:dyDescent="0.2">
      <c r="A407" t="s">
        <v>950</v>
      </c>
      <c r="B407" t="s">
        <v>1430</v>
      </c>
      <c r="C407" t="s">
        <v>953</v>
      </c>
      <c r="D407" t="s">
        <v>954</v>
      </c>
      <c r="E407">
        <v>528</v>
      </c>
      <c r="F407" s="5">
        <v>42532.912094907406</v>
      </c>
      <c r="G407" t="s">
        <v>954</v>
      </c>
      <c r="H407" s="6">
        <v>-12</v>
      </c>
    </row>
    <row r="408" spans="1:8" s="7" customFormat="1" hidden="1" x14ac:dyDescent="0.2">
      <c r="A408" s="7" t="s">
        <v>950</v>
      </c>
      <c r="C408" s="7" t="s">
        <v>955</v>
      </c>
      <c r="D408" s="7" t="s">
        <v>956</v>
      </c>
      <c r="E408" s="7">
        <v>549</v>
      </c>
      <c r="F408" s="8">
        <v>42532.912094907406</v>
      </c>
      <c r="G408" s="7" t="s">
        <v>956</v>
      </c>
      <c r="H408" s="9">
        <v>14</v>
      </c>
    </row>
    <row r="409" spans="1:8" s="7" customFormat="1" hidden="1" x14ac:dyDescent="0.2">
      <c r="A409" s="7" t="s">
        <v>950</v>
      </c>
      <c r="C409" s="7" t="s">
        <v>957</v>
      </c>
      <c r="D409" s="7" t="s">
        <v>958</v>
      </c>
      <c r="E409" s="7">
        <v>27</v>
      </c>
      <c r="F409" s="8">
        <v>42607.696261574078</v>
      </c>
      <c r="G409" s="7" t="s">
        <v>958</v>
      </c>
      <c r="H409" s="9">
        <v>0</v>
      </c>
    </row>
    <row r="410" spans="1:8" s="7" customFormat="1" hidden="1" x14ac:dyDescent="0.2">
      <c r="A410" s="7" t="s">
        <v>950</v>
      </c>
      <c r="C410" s="7" t="s">
        <v>959</v>
      </c>
      <c r="D410" s="7" t="s">
        <v>960</v>
      </c>
      <c r="E410" s="7">
        <v>112209</v>
      </c>
      <c r="F410" s="8">
        <v>42586.621168981481</v>
      </c>
      <c r="G410" s="7" t="s">
        <v>960</v>
      </c>
      <c r="H410" s="9">
        <v>-3239</v>
      </c>
    </row>
    <row r="411" spans="1:8" s="7" customFormat="1" hidden="1" x14ac:dyDescent="0.2">
      <c r="A411" s="7" t="s">
        <v>950</v>
      </c>
      <c r="C411" s="7" t="s">
        <v>961</v>
      </c>
      <c r="D411" s="7" t="s">
        <v>962</v>
      </c>
      <c r="E411" s="7">
        <v>183</v>
      </c>
      <c r="F411" s="8">
        <v>42654.894525462965</v>
      </c>
      <c r="G411" s="7" t="s">
        <v>962</v>
      </c>
      <c r="H411" s="9">
        <v>32</v>
      </c>
    </row>
    <row r="412" spans="1:8" s="7" customFormat="1" hidden="1" x14ac:dyDescent="0.2">
      <c r="A412" s="7" t="s">
        <v>950</v>
      </c>
      <c r="C412" s="7" t="s">
        <v>963</v>
      </c>
      <c r="D412" s="7" t="s">
        <v>964</v>
      </c>
      <c r="E412" s="7">
        <v>559</v>
      </c>
      <c r="F412" s="8">
        <v>42532.912094907406</v>
      </c>
      <c r="G412" s="7" t="s">
        <v>964</v>
      </c>
      <c r="H412" s="9">
        <v>8</v>
      </c>
    </row>
    <row r="413" spans="1:8" s="7" customFormat="1" hidden="1" x14ac:dyDescent="0.2">
      <c r="A413" s="7" t="s">
        <v>950</v>
      </c>
      <c r="C413" s="7" t="s">
        <v>965</v>
      </c>
      <c r="D413" s="7" t="s">
        <v>966</v>
      </c>
      <c r="E413" s="7">
        <v>551</v>
      </c>
      <c r="F413" s="8">
        <v>42532.912094907406</v>
      </c>
      <c r="G413" s="7" t="s">
        <v>966</v>
      </c>
      <c r="H413" s="9">
        <v>0</v>
      </c>
    </row>
    <row r="414" spans="1:8" x14ac:dyDescent="0.2">
      <c r="A414" t="s">
        <v>950</v>
      </c>
      <c r="B414" t="s">
        <v>1430</v>
      </c>
      <c r="C414" t="s">
        <v>967</v>
      </c>
      <c r="D414" t="s">
        <v>968</v>
      </c>
      <c r="E414">
        <v>574</v>
      </c>
      <c r="F414" s="5">
        <v>42532.912094907406</v>
      </c>
      <c r="G414" t="s">
        <v>968</v>
      </c>
      <c r="H414" s="6">
        <v>14</v>
      </c>
    </row>
    <row r="415" spans="1:8" x14ac:dyDescent="0.2">
      <c r="A415" t="s">
        <v>950</v>
      </c>
      <c r="B415" t="s">
        <v>1430</v>
      </c>
      <c r="C415" t="s">
        <v>969</v>
      </c>
      <c r="D415" t="s">
        <v>970</v>
      </c>
      <c r="E415">
        <v>548</v>
      </c>
      <c r="F415" s="5">
        <v>42532.912094907406</v>
      </c>
      <c r="G415" t="s">
        <v>970</v>
      </c>
      <c r="H415" s="6">
        <v>8</v>
      </c>
    </row>
    <row r="416" spans="1:8" s="7" customFormat="1" hidden="1" x14ac:dyDescent="0.2">
      <c r="A416" s="7" t="s">
        <v>950</v>
      </c>
      <c r="C416" s="7" t="s">
        <v>971</v>
      </c>
      <c r="D416" s="7" t="s">
        <v>972</v>
      </c>
      <c r="E416" s="7">
        <v>12</v>
      </c>
      <c r="F416" s="8">
        <v>42532.912094907406</v>
      </c>
      <c r="G416" s="7" t="s">
        <v>972</v>
      </c>
      <c r="H416" s="9">
        <v>0</v>
      </c>
    </row>
    <row r="417" spans="1:8" s="7" customFormat="1" hidden="1" x14ac:dyDescent="0.2">
      <c r="A417" s="7" t="s">
        <v>950</v>
      </c>
      <c r="C417" s="7" t="s">
        <v>973</v>
      </c>
      <c r="D417" s="7" t="s">
        <v>38</v>
      </c>
      <c r="E417" s="7">
        <v>529</v>
      </c>
      <c r="F417" s="8">
        <v>42633.88490740741</v>
      </c>
      <c r="G417" s="7" t="s">
        <v>38</v>
      </c>
      <c r="H417" s="9">
        <v>9</v>
      </c>
    </row>
    <row r="418" spans="1:8" s="7" customFormat="1" hidden="1" x14ac:dyDescent="0.2">
      <c r="A418" s="7" t="s">
        <v>950</v>
      </c>
      <c r="C418" s="7" t="s">
        <v>974</v>
      </c>
      <c r="D418" s="7" t="s">
        <v>975</v>
      </c>
      <c r="E418" s="7">
        <v>20011</v>
      </c>
      <c r="F418" s="8">
        <v>42532.912094907406</v>
      </c>
      <c r="G418" s="7" t="s">
        <v>975</v>
      </c>
      <c r="H418" s="9">
        <v>58</v>
      </c>
    </row>
    <row r="419" spans="1:8" s="7" customFormat="1" hidden="1" x14ac:dyDescent="0.2">
      <c r="A419" s="7" t="s">
        <v>950</v>
      </c>
      <c r="C419" s="7" t="s">
        <v>976</v>
      </c>
      <c r="D419" s="7" t="s">
        <v>977</v>
      </c>
      <c r="E419" s="7">
        <v>72</v>
      </c>
      <c r="F419" s="8">
        <v>42532.912094907406</v>
      </c>
      <c r="G419" s="7" t="s">
        <v>977</v>
      </c>
      <c r="H419" s="9">
        <v>0</v>
      </c>
    </row>
    <row r="420" spans="1:8" hidden="1" x14ac:dyDescent="0.2">
      <c r="A420" s="7" t="s">
        <v>950</v>
      </c>
      <c r="B420" s="7"/>
      <c r="C420" s="7" t="s">
        <v>978</v>
      </c>
      <c r="D420" s="7" t="s">
        <v>979</v>
      </c>
      <c r="E420" s="7">
        <v>9</v>
      </c>
      <c r="F420" s="8">
        <v>42532.912094907406</v>
      </c>
      <c r="G420" s="7" t="s">
        <v>979</v>
      </c>
      <c r="H420" s="9">
        <v>0</v>
      </c>
    </row>
    <row r="421" spans="1:8" hidden="1" x14ac:dyDescent="0.2">
      <c r="A421" s="7" t="s">
        <v>950</v>
      </c>
      <c r="B421" s="7"/>
      <c r="C421" s="7" t="s">
        <v>980</v>
      </c>
      <c r="D421" s="7" t="s">
        <v>981</v>
      </c>
      <c r="E421" s="7">
        <v>2</v>
      </c>
      <c r="F421" s="8">
        <v>42532.912094907406</v>
      </c>
      <c r="G421" s="7" t="s">
        <v>981</v>
      </c>
      <c r="H421" s="9">
        <v>0</v>
      </c>
    </row>
    <row r="422" spans="1:8" x14ac:dyDescent="0.2">
      <c r="A422" t="s">
        <v>950</v>
      </c>
      <c r="B422" t="s">
        <v>1430</v>
      </c>
      <c r="C422" t="s">
        <v>982</v>
      </c>
      <c r="D422" t="s">
        <v>983</v>
      </c>
      <c r="E422">
        <v>524</v>
      </c>
      <c r="F422" s="5">
        <v>42532.912094907406</v>
      </c>
      <c r="G422" t="s">
        <v>983</v>
      </c>
      <c r="H422" s="6">
        <v>8</v>
      </c>
    </row>
    <row r="423" spans="1:8" s="7" customFormat="1" hidden="1" x14ac:dyDescent="0.2">
      <c r="A423" s="7" t="s">
        <v>950</v>
      </c>
      <c r="C423" s="7" t="s">
        <v>984</v>
      </c>
      <c r="D423" s="7" t="s">
        <v>985</v>
      </c>
      <c r="E423" s="7">
        <v>376</v>
      </c>
      <c r="F423" s="8">
        <v>42532.912094907406</v>
      </c>
      <c r="G423" s="7" t="s">
        <v>985</v>
      </c>
      <c r="H423" s="9">
        <v>0</v>
      </c>
    </row>
    <row r="424" spans="1:8" s="7" customFormat="1" hidden="1" x14ac:dyDescent="0.2">
      <c r="A424" s="7" t="s">
        <v>950</v>
      </c>
      <c r="C424" s="7" t="s">
        <v>986</v>
      </c>
      <c r="D424" s="7" t="s">
        <v>987</v>
      </c>
      <c r="E424" s="7">
        <v>7612</v>
      </c>
      <c r="F424" s="8">
        <v>42532.912094907406</v>
      </c>
      <c r="G424" s="7" t="s">
        <v>987</v>
      </c>
      <c r="H424" s="9">
        <v>58</v>
      </c>
    </row>
    <row r="425" spans="1:8" s="7" customFormat="1" hidden="1" x14ac:dyDescent="0.2">
      <c r="A425" s="7" t="s">
        <v>950</v>
      </c>
      <c r="C425" s="7" t="s">
        <v>988</v>
      </c>
      <c r="D425" s="7" t="s">
        <v>989</v>
      </c>
      <c r="E425" s="7">
        <v>90</v>
      </c>
      <c r="F425" s="8">
        <v>42654.894525462965</v>
      </c>
      <c r="G425" s="7" t="s">
        <v>989</v>
      </c>
      <c r="H425" s="9">
        <v>40</v>
      </c>
    </row>
    <row r="426" spans="1:8" s="7" customFormat="1" hidden="1" x14ac:dyDescent="0.2">
      <c r="A426" s="7" t="s">
        <v>990</v>
      </c>
      <c r="C426" s="7" t="s">
        <v>991</v>
      </c>
      <c r="D426" s="7" t="s">
        <v>992</v>
      </c>
      <c r="E426" s="7">
        <v>68372</v>
      </c>
      <c r="F426" s="8">
        <v>42532.912303240744</v>
      </c>
      <c r="G426" s="7" t="s">
        <v>992</v>
      </c>
      <c r="H426" s="9">
        <v>1512</v>
      </c>
    </row>
    <row r="427" spans="1:8" hidden="1" x14ac:dyDescent="0.2">
      <c r="A427" s="7" t="s">
        <v>990</v>
      </c>
      <c r="B427" s="7"/>
      <c r="C427" s="7" t="s">
        <v>993</v>
      </c>
      <c r="D427" s="7" t="s">
        <v>994</v>
      </c>
      <c r="E427" s="7">
        <v>6</v>
      </c>
      <c r="F427" s="8">
        <v>42617.8671875</v>
      </c>
      <c r="G427" s="7" t="s">
        <v>994</v>
      </c>
      <c r="H427" s="9">
        <v>0</v>
      </c>
    </row>
    <row r="428" spans="1:8" x14ac:dyDescent="0.2">
      <c r="A428" t="s">
        <v>990</v>
      </c>
      <c r="C428" t="s">
        <v>997</v>
      </c>
      <c r="D428" t="s">
        <v>362</v>
      </c>
      <c r="E428">
        <v>42</v>
      </c>
      <c r="F428" s="5">
        <v>42532.912303240744</v>
      </c>
      <c r="G428" t="s">
        <v>362</v>
      </c>
      <c r="H428" s="6">
        <v>0</v>
      </c>
    </row>
    <row r="429" spans="1:8" x14ac:dyDescent="0.2">
      <c r="A429" t="s">
        <v>990</v>
      </c>
      <c r="C429" t="s">
        <v>998</v>
      </c>
      <c r="D429" t="s">
        <v>999</v>
      </c>
      <c r="E429">
        <v>157</v>
      </c>
      <c r="F429" s="5">
        <v>42532.912303240744</v>
      </c>
      <c r="G429" t="s">
        <v>999</v>
      </c>
      <c r="H429" s="6">
        <v>0</v>
      </c>
    </row>
    <row r="430" spans="1:8" s="7" customFormat="1" hidden="1" x14ac:dyDescent="0.2">
      <c r="A430" s="7" t="s">
        <v>990</v>
      </c>
      <c r="C430" s="7" t="s">
        <v>1000</v>
      </c>
      <c r="D430" s="7" t="s">
        <v>1001</v>
      </c>
      <c r="E430" s="7">
        <v>33</v>
      </c>
      <c r="F430" s="8">
        <v>42532.912303240744</v>
      </c>
      <c r="G430" s="7" t="s">
        <v>1001</v>
      </c>
      <c r="H430" s="9">
        <v>0</v>
      </c>
    </row>
    <row r="431" spans="1:8" hidden="1" x14ac:dyDescent="0.2">
      <c r="A431" s="7" t="s">
        <v>990</v>
      </c>
      <c r="B431" s="7"/>
      <c r="C431" s="7" t="s">
        <v>1002</v>
      </c>
      <c r="D431" s="7" t="s">
        <v>1003</v>
      </c>
      <c r="E431" s="7">
        <v>3</v>
      </c>
      <c r="F431" s="8">
        <v>42617.8671875</v>
      </c>
      <c r="G431" s="7" t="s">
        <v>1003</v>
      </c>
      <c r="H431" s="9">
        <v>0</v>
      </c>
    </row>
    <row r="432" spans="1:8" s="7" customFormat="1" hidden="1" x14ac:dyDescent="0.2">
      <c r="A432" s="7" t="s">
        <v>990</v>
      </c>
      <c r="C432" s="7" t="s">
        <v>1004</v>
      </c>
      <c r="D432" s="7" t="s">
        <v>174</v>
      </c>
      <c r="E432" s="7">
        <v>21</v>
      </c>
      <c r="F432" s="8">
        <v>42532.912303240744</v>
      </c>
      <c r="G432" s="7" t="s">
        <v>174</v>
      </c>
      <c r="H432" s="9">
        <v>0</v>
      </c>
    </row>
    <row r="433" spans="1:8" s="7" customFormat="1" hidden="1" x14ac:dyDescent="0.2">
      <c r="A433" s="7" t="s">
        <v>990</v>
      </c>
      <c r="C433" s="7" t="s">
        <v>1005</v>
      </c>
      <c r="D433" s="7" t="s">
        <v>1006</v>
      </c>
      <c r="E433" s="7">
        <v>141</v>
      </c>
      <c r="F433" s="8">
        <v>42532.912303240744</v>
      </c>
      <c r="G433" s="7" t="s">
        <v>1006</v>
      </c>
      <c r="H433" s="9">
        <v>0</v>
      </c>
    </row>
    <row r="434" spans="1:8" x14ac:dyDescent="0.2">
      <c r="A434" t="s">
        <v>990</v>
      </c>
      <c r="C434" t="s">
        <v>1009</v>
      </c>
      <c r="D434" t="s">
        <v>1010</v>
      </c>
      <c r="E434">
        <v>213</v>
      </c>
      <c r="F434" s="5">
        <v>42532.912303240744</v>
      </c>
      <c r="G434" t="s">
        <v>1010</v>
      </c>
      <c r="H434" s="6">
        <v>0</v>
      </c>
    </row>
    <row r="435" spans="1:8" x14ac:dyDescent="0.2">
      <c r="A435" t="s">
        <v>990</v>
      </c>
      <c r="C435" t="s">
        <v>1011</v>
      </c>
      <c r="D435" t="s">
        <v>38</v>
      </c>
      <c r="E435">
        <v>1751</v>
      </c>
      <c r="F435" s="5">
        <v>42574.872627314813</v>
      </c>
      <c r="G435" t="s">
        <v>38</v>
      </c>
      <c r="H435" s="6">
        <v>31</v>
      </c>
    </row>
    <row r="436" spans="1:8" x14ac:dyDescent="0.2">
      <c r="A436" t="s">
        <v>990</v>
      </c>
      <c r="C436" t="s">
        <v>1012</v>
      </c>
      <c r="D436" t="s">
        <v>1013</v>
      </c>
      <c r="E436">
        <v>536</v>
      </c>
      <c r="F436" s="5">
        <v>42532.912303240744</v>
      </c>
      <c r="G436" t="s">
        <v>1013</v>
      </c>
      <c r="H436" s="6">
        <v>0</v>
      </c>
    </row>
    <row r="437" spans="1:8" s="7" customFormat="1" hidden="1" x14ac:dyDescent="0.2">
      <c r="A437" s="7" t="s">
        <v>1014</v>
      </c>
      <c r="C437" s="7" t="s">
        <v>1017</v>
      </c>
      <c r="D437" s="7" t="s">
        <v>38</v>
      </c>
      <c r="E437" s="7">
        <v>471</v>
      </c>
      <c r="F437" s="8">
        <v>42532.912523148145</v>
      </c>
      <c r="G437" s="7" t="s">
        <v>38</v>
      </c>
      <c r="H437" s="9">
        <v>8</v>
      </c>
    </row>
    <row r="438" spans="1:8" s="7" customFormat="1" hidden="1" x14ac:dyDescent="0.2">
      <c r="A438" s="7" t="s">
        <v>1014</v>
      </c>
      <c r="C438" s="7" t="s">
        <v>1022</v>
      </c>
      <c r="D438" s="7" t="s">
        <v>38</v>
      </c>
      <c r="E438" s="7">
        <v>37423</v>
      </c>
      <c r="F438" s="8">
        <v>42532.912534722222</v>
      </c>
      <c r="G438" s="7" t="s">
        <v>38</v>
      </c>
      <c r="H438" s="9">
        <v>760</v>
      </c>
    </row>
    <row r="439" spans="1:8" s="7" customFormat="1" hidden="1" x14ac:dyDescent="0.2">
      <c r="A439" s="7" t="s">
        <v>1014</v>
      </c>
      <c r="C439" s="7" t="s">
        <v>1023</v>
      </c>
      <c r="D439" s="7" t="s">
        <v>38</v>
      </c>
      <c r="E439" s="7">
        <v>533</v>
      </c>
      <c r="F439" s="8">
        <v>42532.912534722222</v>
      </c>
      <c r="G439" s="7" t="s">
        <v>38</v>
      </c>
      <c r="H439" s="9">
        <v>8</v>
      </c>
    </row>
    <row r="440" spans="1:8" s="7" customFormat="1" hidden="1" x14ac:dyDescent="0.2">
      <c r="A440" s="7" t="s">
        <v>1014</v>
      </c>
      <c r="C440" s="7" t="s">
        <v>1024</v>
      </c>
      <c r="D440" s="7" t="s">
        <v>38</v>
      </c>
      <c r="E440" s="7">
        <v>15998</v>
      </c>
      <c r="F440" s="8">
        <v>42532.912534722222</v>
      </c>
      <c r="G440" s="7" t="s">
        <v>38</v>
      </c>
      <c r="H440" s="9">
        <v>306</v>
      </c>
    </row>
    <row r="441" spans="1:8" hidden="1" x14ac:dyDescent="0.2">
      <c r="A441" s="7" t="s">
        <v>1025</v>
      </c>
      <c r="B441" s="7"/>
      <c r="C441" s="7" t="s">
        <v>1026</v>
      </c>
      <c r="D441" s="7" t="s">
        <v>1027</v>
      </c>
      <c r="E441" s="7">
        <v>6369</v>
      </c>
      <c r="F441" s="8">
        <v>42478.699791666666</v>
      </c>
      <c r="G441" s="7" t="s">
        <v>1027</v>
      </c>
      <c r="H441" s="9">
        <v>0</v>
      </c>
    </row>
    <row r="442" spans="1:8" x14ac:dyDescent="0.2">
      <c r="A442" t="s">
        <v>1025</v>
      </c>
      <c r="B442" t="s">
        <v>1418</v>
      </c>
      <c r="C442" t="s">
        <v>1087</v>
      </c>
      <c r="D442" t="s">
        <v>1088</v>
      </c>
      <c r="E442">
        <v>175432</v>
      </c>
      <c r="F442" s="5">
        <v>42478.699791666666</v>
      </c>
      <c r="G442" t="s">
        <v>1088</v>
      </c>
      <c r="H442" s="6">
        <v>15253</v>
      </c>
    </row>
    <row r="443" spans="1:8" hidden="1" x14ac:dyDescent="0.2">
      <c r="A443" s="7" t="s">
        <v>1025</v>
      </c>
      <c r="B443" s="7"/>
      <c r="C443" s="7" t="s">
        <v>1029</v>
      </c>
      <c r="D443" s="7" t="s">
        <v>38</v>
      </c>
      <c r="E443" s="7">
        <v>4553191</v>
      </c>
      <c r="F443" s="8">
        <v>42478.699791666666</v>
      </c>
      <c r="G443" s="7" t="s">
        <v>38</v>
      </c>
      <c r="H443" s="9">
        <v>4685</v>
      </c>
    </row>
    <row r="444" spans="1:8" x14ac:dyDescent="0.2">
      <c r="A444" t="s">
        <v>1025</v>
      </c>
      <c r="B444" t="s">
        <v>1418</v>
      </c>
      <c r="C444" t="s">
        <v>1166</v>
      </c>
      <c r="D444" t="s">
        <v>38</v>
      </c>
      <c r="E444">
        <v>15</v>
      </c>
      <c r="F444" s="5">
        <v>42478.699791666666</v>
      </c>
      <c r="G444" t="s">
        <v>38</v>
      </c>
      <c r="H444" s="6">
        <v>0</v>
      </c>
    </row>
    <row r="445" spans="1:8" hidden="1" x14ac:dyDescent="0.2">
      <c r="A445" s="7" t="s">
        <v>1025</v>
      </c>
      <c r="B445" s="7"/>
      <c r="C445" s="7" t="s">
        <v>1031</v>
      </c>
      <c r="D445" s="7" t="s">
        <v>38</v>
      </c>
      <c r="E445" s="7">
        <v>6</v>
      </c>
      <c r="F445" s="8">
        <v>42478.699791666666</v>
      </c>
      <c r="G445" s="7" t="s">
        <v>38</v>
      </c>
      <c r="H445" s="9">
        <v>0</v>
      </c>
    </row>
    <row r="446" spans="1:8" hidden="1" x14ac:dyDescent="0.2">
      <c r="A446" s="7" t="s">
        <v>1025</v>
      </c>
      <c r="B446" s="7"/>
      <c r="C446" s="7" t="s">
        <v>1033</v>
      </c>
      <c r="D446" s="7" t="s">
        <v>38</v>
      </c>
      <c r="E446" s="7">
        <v>3</v>
      </c>
      <c r="F446" s="8">
        <v>42478.699791666666</v>
      </c>
      <c r="G446" s="7" t="s">
        <v>38</v>
      </c>
      <c r="H446" s="9">
        <v>0</v>
      </c>
    </row>
    <row r="447" spans="1:8" x14ac:dyDescent="0.2">
      <c r="A447" t="s">
        <v>1025</v>
      </c>
      <c r="B447" t="s">
        <v>1418</v>
      </c>
      <c r="C447" t="s">
        <v>1167</v>
      </c>
      <c r="D447" t="s">
        <v>1168</v>
      </c>
      <c r="E447">
        <v>6155</v>
      </c>
      <c r="F447" s="5">
        <v>42600.709861111114</v>
      </c>
      <c r="G447" t="s">
        <v>1168</v>
      </c>
      <c r="H447" s="6">
        <v>408</v>
      </c>
    </row>
    <row r="448" spans="1:8" x14ac:dyDescent="0.2">
      <c r="A448" t="s">
        <v>1025</v>
      </c>
      <c r="B448" t="s">
        <v>1418</v>
      </c>
      <c r="C448" t="s">
        <v>1170</v>
      </c>
      <c r="D448" t="s">
        <v>1091</v>
      </c>
      <c r="E448">
        <v>15</v>
      </c>
      <c r="F448" s="5">
        <v>42478.699791666666</v>
      </c>
      <c r="G448" t="s">
        <v>1091</v>
      </c>
      <c r="H448" s="6">
        <v>0</v>
      </c>
    </row>
    <row r="449" spans="1:8" s="7" customFormat="1" hidden="1" x14ac:dyDescent="0.2">
      <c r="A449" s="7" t="s">
        <v>1025</v>
      </c>
      <c r="C449" s="7" t="s">
        <v>1038</v>
      </c>
      <c r="D449" s="7" t="s">
        <v>38</v>
      </c>
      <c r="E449" s="7">
        <v>15</v>
      </c>
      <c r="F449" s="8">
        <v>42478.699791666666</v>
      </c>
      <c r="G449" s="7" t="s">
        <v>38</v>
      </c>
      <c r="H449" s="9">
        <v>0</v>
      </c>
    </row>
    <row r="450" spans="1:8" s="7" customFormat="1" hidden="1" x14ac:dyDescent="0.2">
      <c r="A450" s="7" t="s">
        <v>1025</v>
      </c>
      <c r="C450" s="7" t="s">
        <v>1039</v>
      </c>
      <c r="D450" s="7" t="s">
        <v>38</v>
      </c>
      <c r="E450" s="7">
        <v>240</v>
      </c>
      <c r="F450" s="8">
        <v>42478.699791666666</v>
      </c>
      <c r="G450" s="7" t="s">
        <v>38</v>
      </c>
      <c r="H450" s="9">
        <v>0</v>
      </c>
    </row>
    <row r="451" spans="1:8" hidden="1" x14ac:dyDescent="0.2">
      <c r="A451" s="7" t="s">
        <v>1025</v>
      </c>
      <c r="B451" s="7"/>
      <c r="C451" s="7" t="s">
        <v>1040</v>
      </c>
      <c r="D451" s="7" t="s">
        <v>38</v>
      </c>
      <c r="E451" s="7">
        <v>2</v>
      </c>
      <c r="F451" s="8">
        <v>42478.699791666666</v>
      </c>
      <c r="G451" s="7" t="s">
        <v>38</v>
      </c>
      <c r="H451" s="9">
        <v>0</v>
      </c>
    </row>
    <row r="452" spans="1:8" s="7" customFormat="1" hidden="1" x14ac:dyDescent="0.2">
      <c r="A452" s="7" t="s">
        <v>1025</v>
      </c>
      <c r="C452" s="7" t="s">
        <v>1041</v>
      </c>
      <c r="D452" s="7" t="s">
        <v>38</v>
      </c>
      <c r="E452" s="7">
        <v>247</v>
      </c>
      <c r="F452" s="8">
        <v>42478.699791666666</v>
      </c>
      <c r="G452" s="7" t="s">
        <v>38</v>
      </c>
      <c r="H452" s="9">
        <v>0</v>
      </c>
    </row>
    <row r="453" spans="1:8" s="7" customFormat="1" hidden="1" x14ac:dyDescent="0.2">
      <c r="A453" s="7" t="s">
        <v>1025</v>
      </c>
      <c r="C453" s="7" t="s">
        <v>1042</v>
      </c>
      <c r="D453" s="7" t="s">
        <v>1043</v>
      </c>
      <c r="E453" s="7">
        <v>124</v>
      </c>
      <c r="F453" s="8">
        <v>42478.699791666666</v>
      </c>
      <c r="G453" s="7" t="s">
        <v>1043</v>
      </c>
      <c r="H453" s="9">
        <v>0</v>
      </c>
    </row>
    <row r="454" spans="1:8" hidden="1" x14ac:dyDescent="0.2">
      <c r="A454" s="7" t="s">
        <v>1025</v>
      </c>
      <c r="B454" s="7"/>
      <c r="C454" s="7" t="s">
        <v>1044</v>
      </c>
      <c r="D454" s="7" t="s">
        <v>1045</v>
      </c>
      <c r="E454" s="7">
        <v>1</v>
      </c>
      <c r="F454" s="8">
        <v>42478.699791666666</v>
      </c>
      <c r="G454" s="7" t="s">
        <v>1045</v>
      </c>
      <c r="H454" s="9">
        <v>0</v>
      </c>
    </row>
    <row r="455" spans="1:8" s="7" customFormat="1" hidden="1" x14ac:dyDescent="0.2">
      <c r="A455" s="7" t="s">
        <v>1025</v>
      </c>
      <c r="C455" s="7" t="s">
        <v>1046</v>
      </c>
      <c r="D455" s="7" t="s">
        <v>1047</v>
      </c>
      <c r="E455" s="7">
        <v>12</v>
      </c>
      <c r="F455" s="8">
        <v>42635.977800925924</v>
      </c>
      <c r="G455" s="7" t="s">
        <v>1047</v>
      </c>
      <c r="H455" s="9">
        <v>0</v>
      </c>
    </row>
    <row r="456" spans="1:8" s="7" customFormat="1" hidden="1" x14ac:dyDescent="0.2">
      <c r="A456" s="7" t="s">
        <v>1025</v>
      </c>
      <c r="C456" s="7" t="s">
        <v>1048</v>
      </c>
      <c r="D456" s="7" t="s">
        <v>38</v>
      </c>
      <c r="E456" s="7">
        <v>16016</v>
      </c>
      <c r="F456" s="8">
        <v>42604.72314814815</v>
      </c>
      <c r="G456" s="7" t="s">
        <v>38</v>
      </c>
      <c r="H456" s="9">
        <v>0</v>
      </c>
    </row>
    <row r="457" spans="1:8" x14ac:dyDescent="0.2">
      <c r="A457" t="s">
        <v>1025</v>
      </c>
      <c r="B457" t="s">
        <v>1418</v>
      </c>
      <c r="C457" t="s">
        <v>1171</v>
      </c>
      <c r="D457" t="s">
        <v>38</v>
      </c>
      <c r="E457">
        <v>84612</v>
      </c>
      <c r="F457" s="5">
        <v>42478.699791666666</v>
      </c>
      <c r="G457" t="s">
        <v>38</v>
      </c>
      <c r="H457" s="6">
        <v>102</v>
      </c>
    </row>
    <row r="458" spans="1:8" s="7" customFormat="1" hidden="1" x14ac:dyDescent="0.2">
      <c r="A458" s="7" t="s">
        <v>1025</v>
      </c>
      <c r="C458" s="7" t="s">
        <v>1050</v>
      </c>
      <c r="D458" s="7" t="s">
        <v>1051</v>
      </c>
      <c r="E458" s="7">
        <v>8</v>
      </c>
      <c r="F458" s="8">
        <v>42478.699791666666</v>
      </c>
      <c r="G458" s="7" t="s">
        <v>1051</v>
      </c>
      <c r="H458" s="9">
        <v>0</v>
      </c>
    </row>
    <row r="459" spans="1:8" s="7" customFormat="1" hidden="1" x14ac:dyDescent="0.2">
      <c r="A459" s="7" t="s">
        <v>1025</v>
      </c>
      <c r="C459" s="7" t="s">
        <v>1052</v>
      </c>
      <c r="D459" s="7" t="s">
        <v>1053</v>
      </c>
      <c r="E459" s="7">
        <v>9341</v>
      </c>
      <c r="F459" s="8">
        <v>42478.699791666666</v>
      </c>
      <c r="G459" s="7" t="s">
        <v>1053</v>
      </c>
      <c r="H459" s="9">
        <v>15</v>
      </c>
    </row>
    <row r="460" spans="1:8" x14ac:dyDescent="0.2">
      <c r="A460" t="s">
        <v>1025</v>
      </c>
      <c r="B460" t="s">
        <v>1418</v>
      </c>
      <c r="C460" t="s">
        <v>1175</v>
      </c>
      <c r="D460" t="s">
        <v>1176</v>
      </c>
      <c r="E460">
        <v>17</v>
      </c>
      <c r="F460" s="5">
        <v>42478.699791666666</v>
      </c>
      <c r="G460" t="s">
        <v>1176</v>
      </c>
      <c r="H460" s="6">
        <v>0</v>
      </c>
    </row>
    <row r="461" spans="1:8" s="7" customFormat="1" hidden="1" x14ac:dyDescent="0.2">
      <c r="A461" s="7" t="s">
        <v>1025</v>
      </c>
      <c r="C461" s="7" t="s">
        <v>1059</v>
      </c>
      <c r="D461" s="7" t="s">
        <v>38</v>
      </c>
      <c r="E461" s="7">
        <v>6</v>
      </c>
      <c r="F461" s="8">
        <v>42478.699791666666</v>
      </c>
      <c r="G461" s="7" t="s">
        <v>38</v>
      </c>
      <c r="H461" s="9">
        <v>0</v>
      </c>
    </row>
    <row r="462" spans="1:8" s="7" customFormat="1" hidden="1" x14ac:dyDescent="0.2">
      <c r="A462" s="7" t="s">
        <v>1025</v>
      </c>
      <c r="C462" s="7" t="s">
        <v>1060</v>
      </c>
      <c r="D462" s="7" t="s">
        <v>38</v>
      </c>
      <c r="E462" s="7">
        <v>240</v>
      </c>
      <c r="F462" s="8">
        <v>42478.699791666666</v>
      </c>
      <c r="G462" s="7" t="s">
        <v>38</v>
      </c>
      <c r="H462" s="9">
        <v>0</v>
      </c>
    </row>
    <row r="463" spans="1:8" s="7" customFormat="1" hidden="1" x14ac:dyDescent="0.2">
      <c r="A463" s="7" t="s">
        <v>1025</v>
      </c>
      <c r="C463" s="7" t="s">
        <v>1061</v>
      </c>
      <c r="D463" s="7" t="s">
        <v>38</v>
      </c>
      <c r="E463" s="7">
        <v>13203046</v>
      </c>
      <c r="F463" s="8">
        <v>42478.699791666666</v>
      </c>
      <c r="G463" s="7" t="s">
        <v>38</v>
      </c>
      <c r="H463" s="9">
        <v>20776</v>
      </c>
    </row>
    <row r="464" spans="1:8" s="7" customFormat="1" hidden="1" x14ac:dyDescent="0.2">
      <c r="A464" s="7" t="s">
        <v>1025</v>
      </c>
      <c r="C464" s="7" t="s">
        <v>1062</v>
      </c>
      <c r="D464" s="7" t="s">
        <v>38</v>
      </c>
      <c r="E464" s="7">
        <v>710815</v>
      </c>
      <c r="F464" s="8">
        <v>42478.699791666666</v>
      </c>
      <c r="G464" s="7" t="s">
        <v>38</v>
      </c>
      <c r="H464" s="9">
        <v>1694</v>
      </c>
    </row>
    <row r="465" spans="1:8" s="10" customFormat="1" hidden="1" x14ac:dyDescent="0.2">
      <c r="A465" s="10" t="s">
        <v>1025</v>
      </c>
      <c r="C465" s="10" t="s">
        <v>1063</v>
      </c>
      <c r="D465" s="10" t="s">
        <v>1064</v>
      </c>
      <c r="E465" s="10">
        <v>24</v>
      </c>
      <c r="F465" s="11">
        <v>42478.699791666666</v>
      </c>
      <c r="G465" s="10" t="s">
        <v>1064</v>
      </c>
      <c r="H465" s="12">
        <v>0</v>
      </c>
    </row>
    <row r="466" spans="1:8" s="7" customFormat="1" hidden="1" x14ac:dyDescent="0.2">
      <c r="A466" s="7" t="s">
        <v>1025</v>
      </c>
      <c r="C466" s="7" t="s">
        <v>1065</v>
      </c>
      <c r="D466" s="7" t="s">
        <v>38</v>
      </c>
      <c r="E466" s="7">
        <v>174</v>
      </c>
      <c r="F466" s="8">
        <v>42478.699791666666</v>
      </c>
      <c r="G466" s="7" t="s">
        <v>38</v>
      </c>
      <c r="H466" s="9">
        <v>0</v>
      </c>
    </row>
    <row r="467" spans="1:8" s="7" customFormat="1" hidden="1" x14ac:dyDescent="0.2">
      <c r="A467" s="7" t="s">
        <v>1025</v>
      </c>
      <c r="C467" s="7" t="s">
        <v>1066</v>
      </c>
      <c r="D467" s="7" t="s">
        <v>1067</v>
      </c>
      <c r="E467" s="7">
        <v>16650</v>
      </c>
      <c r="F467" s="8">
        <v>42478.699791666666</v>
      </c>
      <c r="G467" s="7" t="s">
        <v>1067</v>
      </c>
      <c r="H467" s="9">
        <v>0</v>
      </c>
    </row>
    <row r="468" spans="1:8" s="7" customFormat="1" hidden="1" x14ac:dyDescent="0.2">
      <c r="A468" s="7" t="s">
        <v>1025</v>
      </c>
      <c r="C468" s="7" t="s">
        <v>1068</v>
      </c>
      <c r="D468" s="7" t="s">
        <v>38</v>
      </c>
      <c r="E468" s="7">
        <v>14798</v>
      </c>
      <c r="F468" s="8">
        <v>42478.699791666666</v>
      </c>
      <c r="G468" s="7" t="s">
        <v>38</v>
      </c>
      <c r="H468" s="9">
        <v>2</v>
      </c>
    </row>
    <row r="469" spans="1:8" s="7" customFormat="1" hidden="1" x14ac:dyDescent="0.2">
      <c r="A469" s="7" t="s">
        <v>1025</v>
      </c>
      <c r="C469" s="7" t="s">
        <v>1070</v>
      </c>
      <c r="D469" s="7" t="s">
        <v>38</v>
      </c>
      <c r="E469" s="7">
        <v>277</v>
      </c>
      <c r="F469" s="8">
        <v>42478.699791666666</v>
      </c>
      <c r="G469" s="7" t="s">
        <v>38</v>
      </c>
      <c r="H469" s="9">
        <v>0</v>
      </c>
    </row>
    <row r="470" spans="1:8" s="7" customFormat="1" hidden="1" x14ac:dyDescent="0.2">
      <c r="A470" s="7" t="s">
        <v>1025</v>
      </c>
      <c r="C470" s="7" t="s">
        <v>1074</v>
      </c>
      <c r="D470" s="7" t="s">
        <v>38</v>
      </c>
      <c r="E470" s="7">
        <v>1</v>
      </c>
      <c r="F470" s="8">
        <v>42478.699791666666</v>
      </c>
      <c r="G470" s="7" t="s">
        <v>38</v>
      </c>
      <c r="H470" s="9">
        <v>0</v>
      </c>
    </row>
    <row r="471" spans="1:8" s="10" customFormat="1" hidden="1" x14ac:dyDescent="0.2">
      <c r="A471" s="10" t="s">
        <v>1025</v>
      </c>
      <c r="C471" s="10" t="s">
        <v>1075</v>
      </c>
      <c r="D471" s="10" t="s">
        <v>38</v>
      </c>
      <c r="E471" s="10">
        <v>364854</v>
      </c>
      <c r="F471" s="11">
        <v>42478.699791666666</v>
      </c>
      <c r="G471" s="10" t="s">
        <v>38</v>
      </c>
      <c r="H471" s="12">
        <v>0</v>
      </c>
    </row>
    <row r="472" spans="1:8" s="7" customFormat="1" hidden="1" x14ac:dyDescent="0.2">
      <c r="A472" s="7" t="s">
        <v>1025</v>
      </c>
      <c r="C472" s="7" t="s">
        <v>1077</v>
      </c>
      <c r="D472" s="7" t="s">
        <v>38</v>
      </c>
      <c r="E472" s="7">
        <v>1245</v>
      </c>
      <c r="F472" s="8">
        <v>42478.699791666666</v>
      </c>
      <c r="G472" s="7" t="s">
        <v>38</v>
      </c>
      <c r="H472" s="9">
        <v>0</v>
      </c>
    </row>
    <row r="473" spans="1:8" s="7" customFormat="1" hidden="1" x14ac:dyDescent="0.2">
      <c r="A473" s="7" t="s">
        <v>1025</v>
      </c>
      <c r="C473" s="7" t="s">
        <v>1078</v>
      </c>
      <c r="D473" s="7" t="s">
        <v>38</v>
      </c>
      <c r="E473" s="7">
        <v>24478</v>
      </c>
      <c r="F473" s="8">
        <v>42478.699791666666</v>
      </c>
      <c r="G473" s="7" t="s">
        <v>38</v>
      </c>
      <c r="H473" s="9">
        <v>0</v>
      </c>
    </row>
    <row r="474" spans="1:8" s="7" customFormat="1" hidden="1" x14ac:dyDescent="0.2">
      <c r="A474" s="7" t="s">
        <v>1025</v>
      </c>
      <c r="C474" s="7" t="s">
        <v>1079</v>
      </c>
      <c r="D474" s="7" t="s">
        <v>38</v>
      </c>
      <c r="E474" s="7">
        <v>11587</v>
      </c>
      <c r="F474" s="8">
        <v>42485.460555555554</v>
      </c>
      <c r="G474" s="7" t="s">
        <v>38</v>
      </c>
      <c r="H474" s="9">
        <v>0</v>
      </c>
    </row>
    <row r="475" spans="1:8" s="7" customFormat="1" hidden="1" x14ac:dyDescent="0.2">
      <c r="A475" s="7" t="s">
        <v>1025</v>
      </c>
      <c r="C475" s="7" t="s">
        <v>1081</v>
      </c>
      <c r="D475" s="7" t="s">
        <v>1082</v>
      </c>
      <c r="E475" s="7">
        <v>1865</v>
      </c>
      <c r="F475" s="8">
        <v>42478.699791666666</v>
      </c>
      <c r="G475" s="7" t="s">
        <v>1082</v>
      </c>
      <c r="H475" s="9">
        <v>0</v>
      </c>
    </row>
    <row r="476" spans="1:8" s="7" customFormat="1" hidden="1" x14ac:dyDescent="0.2">
      <c r="A476" s="7" t="s">
        <v>1025</v>
      </c>
      <c r="C476" s="7" t="s">
        <v>1083</v>
      </c>
      <c r="D476" s="7" t="s">
        <v>1084</v>
      </c>
      <c r="E476" s="7">
        <v>2068</v>
      </c>
      <c r="F476" s="8">
        <v>42478.699791666666</v>
      </c>
      <c r="G476" s="7" t="s">
        <v>1084</v>
      </c>
      <c r="H476" s="9">
        <v>1</v>
      </c>
    </row>
    <row r="477" spans="1:8" s="7" customFormat="1" hidden="1" x14ac:dyDescent="0.2">
      <c r="A477" s="7" t="s">
        <v>1025</v>
      </c>
      <c r="C477" s="7" t="s">
        <v>1085</v>
      </c>
      <c r="D477" s="7" t="s">
        <v>38</v>
      </c>
      <c r="E477" s="7">
        <v>2</v>
      </c>
      <c r="F477" s="8">
        <v>42478.699791666666</v>
      </c>
      <c r="G477" s="7" t="s">
        <v>38</v>
      </c>
      <c r="H477" s="9">
        <v>0</v>
      </c>
    </row>
    <row r="478" spans="1:8" s="7" customFormat="1" hidden="1" x14ac:dyDescent="0.2">
      <c r="A478" s="7" t="s">
        <v>1025</v>
      </c>
      <c r="C478" s="7" t="s">
        <v>1086</v>
      </c>
      <c r="D478" s="7" t="s">
        <v>38</v>
      </c>
      <c r="E478" s="7">
        <v>9365247</v>
      </c>
      <c r="F478" s="8">
        <v>42478.699791666666</v>
      </c>
      <c r="G478" s="7" t="s">
        <v>38</v>
      </c>
      <c r="H478" s="9">
        <v>13086</v>
      </c>
    </row>
    <row r="479" spans="1:8" x14ac:dyDescent="0.2">
      <c r="A479" s="15" t="s">
        <v>1025</v>
      </c>
      <c r="B479" s="15" t="s">
        <v>1422</v>
      </c>
      <c r="C479" s="15" t="s">
        <v>1221</v>
      </c>
      <c r="D479" s="15" t="s">
        <v>1222</v>
      </c>
      <c r="E479" s="15">
        <v>6465453</v>
      </c>
      <c r="F479" s="16">
        <v>42478.699791666666</v>
      </c>
      <c r="G479" s="15" t="s">
        <v>1222</v>
      </c>
      <c r="H479" s="17">
        <v>11869</v>
      </c>
    </row>
    <row r="480" spans="1:8" s="7" customFormat="1" hidden="1" x14ac:dyDescent="0.2">
      <c r="A480" s="7" t="s">
        <v>1025</v>
      </c>
      <c r="C480" s="7" t="s">
        <v>1089</v>
      </c>
      <c r="D480" s="7" t="s">
        <v>1088</v>
      </c>
      <c r="E480" s="7">
        <v>102495</v>
      </c>
      <c r="F480" s="8">
        <v>42503.033877314818</v>
      </c>
      <c r="G480" s="7" t="s">
        <v>1088</v>
      </c>
      <c r="H480" s="9">
        <v>0</v>
      </c>
    </row>
    <row r="481" spans="1:8" s="10" customFormat="1" hidden="1" x14ac:dyDescent="0.2">
      <c r="A481" s="10" t="s">
        <v>1025</v>
      </c>
      <c r="C481" s="10" t="s">
        <v>386</v>
      </c>
      <c r="D481" s="10" t="s">
        <v>38</v>
      </c>
      <c r="E481" s="10">
        <v>40659</v>
      </c>
      <c r="F481" s="11">
        <v>42478.699791666666</v>
      </c>
      <c r="G481" s="10" t="s">
        <v>38</v>
      </c>
      <c r="H481" s="12">
        <v>0</v>
      </c>
    </row>
    <row r="482" spans="1:8" s="7" customFormat="1" hidden="1" x14ac:dyDescent="0.2">
      <c r="A482" s="7" t="s">
        <v>1025</v>
      </c>
      <c r="C482" s="7" t="s">
        <v>1095</v>
      </c>
      <c r="D482" s="7" t="s">
        <v>1096</v>
      </c>
      <c r="E482" s="7">
        <v>492426</v>
      </c>
      <c r="F482" s="8">
        <v>42578.611793981479</v>
      </c>
      <c r="G482" s="7" t="s">
        <v>38</v>
      </c>
      <c r="H482" s="9">
        <v>8559</v>
      </c>
    </row>
    <row r="483" spans="1:8" s="10" customFormat="1" hidden="1" x14ac:dyDescent="0.2">
      <c r="A483" s="10" t="s">
        <v>1025</v>
      </c>
      <c r="C483" s="10" t="s">
        <v>1097</v>
      </c>
      <c r="D483" s="10" t="s">
        <v>38</v>
      </c>
      <c r="E483" s="10">
        <v>177580</v>
      </c>
      <c r="F483" s="11">
        <v>42478.699791666666</v>
      </c>
      <c r="G483" s="10" t="s">
        <v>38</v>
      </c>
      <c r="H483" s="12">
        <v>15677</v>
      </c>
    </row>
    <row r="484" spans="1:8" s="7" customFormat="1" hidden="1" x14ac:dyDescent="0.2">
      <c r="A484" s="7" t="s">
        <v>1025</v>
      </c>
      <c r="C484" s="7" t="s">
        <v>1098</v>
      </c>
      <c r="D484" s="7" t="s">
        <v>38</v>
      </c>
      <c r="E484" s="7">
        <v>32</v>
      </c>
      <c r="F484" s="8">
        <v>42478.699791666666</v>
      </c>
      <c r="G484" s="7" t="s">
        <v>38</v>
      </c>
      <c r="H484" s="9">
        <v>0</v>
      </c>
    </row>
    <row r="485" spans="1:8" s="7" customFormat="1" hidden="1" x14ac:dyDescent="0.2">
      <c r="A485" s="7" t="s">
        <v>1025</v>
      </c>
      <c r="C485" s="7" t="s">
        <v>1099</v>
      </c>
      <c r="D485" s="7" t="s">
        <v>38</v>
      </c>
      <c r="E485" s="7">
        <v>346</v>
      </c>
      <c r="F485" s="8">
        <v>42478.699791666666</v>
      </c>
      <c r="G485" s="7" t="s">
        <v>38</v>
      </c>
      <c r="H485" s="9">
        <v>0</v>
      </c>
    </row>
    <row r="486" spans="1:8" s="7" customFormat="1" hidden="1" x14ac:dyDescent="0.2">
      <c r="A486" s="7" t="s">
        <v>1025</v>
      </c>
      <c r="C486" s="7" t="s">
        <v>1100</v>
      </c>
      <c r="D486" s="7" t="s">
        <v>38</v>
      </c>
      <c r="E486" s="7">
        <v>131</v>
      </c>
      <c r="F486" s="8">
        <v>42478.699791666666</v>
      </c>
      <c r="G486" s="7" t="s">
        <v>38</v>
      </c>
      <c r="H486" s="9">
        <v>0</v>
      </c>
    </row>
    <row r="487" spans="1:8" s="7" customFormat="1" hidden="1" x14ac:dyDescent="0.2">
      <c r="A487" s="7" t="s">
        <v>1025</v>
      </c>
      <c r="C487" s="7" t="s">
        <v>1101</v>
      </c>
      <c r="D487" s="7" t="s">
        <v>1102</v>
      </c>
      <c r="E487" s="7">
        <v>4151</v>
      </c>
      <c r="F487" s="8">
        <v>42502.401631944442</v>
      </c>
      <c r="G487" s="7" t="s">
        <v>1102</v>
      </c>
      <c r="H487" s="9">
        <v>0</v>
      </c>
    </row>
    <row r="488" spans="1:8" s="7" customFormat="1" hidden="1" x14ac:dyDescent="0.2">
      <c r="A488" s="7" t="s">
        <v>1025</v>
      </c>
      <c r="C488" s="7" t="s">
        <v>1103</v>
      </c>
      <c r="D488" s="7" t="s">
        <v>1104</v>
      </c>
      <c r="E488" s="7">
        <v>27970</v>
      </c>
      <c r="F488" s="8">
        <v>42478.699791666666</v>
      </c>
      <c r="G488" s="7" t="s">
        <v>1104</v>
      </c>
      <c r="H488" s="9">
        <v>44</v>
      </c>
    </row>
    <row r="489" spans="1:8" s="7" customFormat="1" hidden="1" x14ac:dyDescent="0.2">
      <c r="A489" s="7" t="s">
        <v>1025</v>
      </c>
      <c r="C489" s="7" t="s">
        <v>1105</v>
      </c>
      <c r="D489" s="7" t="s">
        <v>38</v>
      </c>
      <c r="E489" s="7">
        <v>1250604</v>
      </c>
      <c r="F489" s="8">
        <v>42478.699791666666</v>
      </c>
      <c r="G489" s="7" t="s">
        <v>38</v>
      </c>
      <c r="H489" s="9">
        <v>0</v>
      </c>
    </row>
    <row r="490" spans="1:8" s="7" customFormat="1" hidden="1" x14ac:dyDescent="0.2">
      <c r="A490" s="7" t="s">
        <v>1025</v>
      </c>
      <c r="C490" s="7" t="s">
        <v>1106</v>
      </c>
      <c r="D490" s="7" t="s">
        <v>1107</v>
      </c>
      <c r="E490" s="7">
        <v>126131</v>
      </c>
      <c r="F490" s="8">
        <v>42478.699791666666</v>
      </c>
      <c r="G490" s="7" t="s">
        <v>1107</v>
      </c>
      <c r="H490" s="9">
        <v>0</v>
      </c>
    </row>
    <row r="491" spans="1:8" s="7" customFormat="1" hidden="1" x14ac:dyDescent="0.2">
      <c r="A491" s="7" t="s">
        <v>1025</v>
      </c>
      <c r="C491" s="7" t="s">
        <v>1108</v>
      </c>
      <c r="D491" s="7" t="s">
        <v>1109</v>
      </c>
      <c r="E491" s="7">
        <v>9</v>
      </c>
      <c r="F491" s="8">
        <v>42478.699791666666</v>
      </c>
      <c r="G491" s="7" t="s">
        <v>1109</v>
      </c>
      <c r="H491" s="9">
        <v>0</v>
      </c>
    </row>
    <row r="492" spans="1:8" s="7" customFormat="1" hidden="1" x14ac:dyDescent="0.2">
      <c r="A492" s="7" t="s">
        <v>1025</v>
      </c>
      <c r="C492" s="7" t="s">
        <v>1111</v>
      </c>
      <c r="D492" s="7" t="s">
        <v>38</v>
      </c>
      <c r="E492" s="7">
        <v>2</v>
      </c>
      <c r="F492" s="8">
        <v>42478.699791666666</v>
      </c>
      <c r="G492" s="7" t="s">
        <v>38</v>
      </c>
      <c r="H492" s="9">
        <v>0</v>
      </c>
    </row>
    <row r="493" spans="1:8" s="7" customFormat="1" hidden="1" x14ac:dyDescent="0.2">
      <c r="A493" s="7" t="s">
        <v>1025</v>
      </c>
      <c r="C493" s="7" t="s">
        <v>1112</v>
      </c>
      <c r="D493" s="7" t="s">
        <v>38</v>
      </c>
      <c r="E493" s="7">
        <v>3408</v>
      </c>
      <c r="F493" s="8">
        <v>42478.699791666666</v>
      </c>
      <c r="G493" s="7" t="s">
        <v>38</v>
      </c>
      <c r="H493" s="9">
        <v>0</v>
      </c>
    </row>
    <row r="494" spans="1:8" s="7" customFormat="1" hidden="1" x14ac:dyDescent="0.2">
      <c r="A494" s="7" t="s">
        <v>1025</v>
      </c>
      <c r="C494" s="7" t="s">
        <v>1113</v>
      </c>
      <c r="D494" s="7" t="s">
        <v>38</v>
      </c>
      <c r="E494" s="7">
        <v>1</v>
      </c>
      <c r="F494" s="8">
        <v>42635.897141203706</v>
      </c>
      <c r="G494" s="7" t="s">
        <v>38</v>
      </c>
      <c r="H494" s="9">
        <v>0</v>
      </c>
    </row>
    <row r="495" spans="1:8" s="10" customFormat="1" hidden="1" x14ac:dyDescent="0.2">
      <c r="A495" s="10" t="s">
        <v>1025</v>
      </c>
      <c r="C495" s="10" t="s">
        <v>1114</v>
      </c>
      <c r="D495" s="10" t="s">
        <v>38</v>
      </c>
      <c r="E495" s="10">
        <v>5761418</v>
      </c>
      <c r="F495" s="11">
        <v>42478.716412037036</v>
      </c>
      <c r="G495" s="10" t="s">
        <v>38</v>
      </c>
      <c r="H495" s="12">
        <v>0</v>
      </c>
    </row>
    <row r="496" spans="1:8" s="7" customFormat="1" hidden="1" x14ac:dyDescent="0.2">
      <c r="A496" s="7" t="s">
        <v>1025</v>
      </c>
      <c r="C496" s="7" t="s">
        <v>1115</v>
      </c>
      <c r="D496" s="7" t="s">
        <v>38</v>
      </c>
      <c r="E496" s="7">
        <v>19390052</v>
      </c>
      <c r="F496" s="8">
        <v>42478.716412037036</v>
      </c>
      <c r="G496" s="7" t="s">
        <v>38</v>
      </c>
      <c r="H496" s="9">
        <v>0</v>
      </c>
    </row>
    <row r="497" spans="1:8" x14ac:dyDescent="0.2">
      <c r="A497" t="s">
        <v>1025</v>
      </c>
      <c r="B497" t="s">
        <v>1416</v>
      </c>
      <c r="C497" t="s">
        <v>1116</v>
      </c>
      <c r="D497" t="s">
        <v>1117</v>
      </c>
      <c r="E497">
        <v>16682174</v>
      </c>
      <c r="F497" s="5">
        <v>42478.699791666666</v>
      </c>
      <c r="G497" t="s">
        <v>1117</v>
      </c>
      <c r="H497" s="6">
        <v>111006</v>
      </c>
    </row>
    <row r="498" spans="1:8" x14ac:dyDescent="0.2">
      <c r="A498" t="s">
        <v>1025</v>
      </c>
      <c r="B498" t="s">
        <v>1416</v>
      </c>
      <c r="C498" t="s">
        <v>1118</v>
      </c>
      <c r="D498" t="s">
        <v>1119</v>
      </c>
      <c r="E498">
        <v>767546</v>
      </c>
      <c r="F498" s="5">
        <v>42635.896423611113</v>
      </c>
      <c r="G498" t="s">
        <v>1119</v>
      </c>
      <c r="H498" s="6">
        <v>60690</v>
      </c>
    </row>
    <row r="499" spans="1:8" s="7" customFormat="1" hidden="1" x14ac:dyDescent="0.2">
      <c r="A499" s="7" t="s">
        <v>1025</v>
      </c>
      <c r="C499" s="7" t="s">
        <v>1120</v>
      </c>
      <c r="D499" s="7" t="s">
        <v>1121</v>
      </c>
      <c r="E499" s="7">
        <v>3</v>
      </c>
      <c r="F499" s="8">
        <v>42478.699791666666</v>
      </c>
      <c r="G499" s="7" t="s">
        <v>1121</v>
      </c>
      <c r="H499" s="9">
        <v>0</v>
      </c>
    </row>
    <row r="500" spans="1:8" s="10" customFormat="1" hidden="1" x14ac:dyDescent="0.2">
      <c r="A500" s="10" t="s">
        <v>1025</v>
      </c>
      <c r="C500" s="10" t="s">
        <v>1122</v>
      </c>
      <c r="D500" s="10" t="s">
        <v>1123</v>
      </c>
      <c r="E500" s="10">
        <v>1223203</v>
      </c>
      <c r="F500" s="11">
        <v>42478.699791666666</v>
      </c>
      <c r="G500" s="10" t="s">
        <v>1123</v>
      </c>
      <c r="H500" s="12">
        <v>1267</v>
      </c>
    </row>
    <row r="501" spans="1:8" s="7" customFormat="1" hidden="1" x14ac:dyDescent="0.2">
      <c r="A501" s="7" t="s">
        <v>1025</v>
      </c>
      <c r="C501" s="7" t="s">
        <v>1125</v>
      </c>
      <c r="D501" s="7" t="s">
        <v>38</v>
      </c>
      <c r="E501" s="7">
        <v>383528</v>
      </c>
      <c r="F501" s="8">
        <v>42478.699791666666</v>
      </c>
      <c r="G501" s="7" t="s">
        <v>38</v>
      </c>
      <c r="H501" s="9">
        <v>0</v>
      </c>
    </row>
    <row r="502" spans="1:8" s="7" customFormat="1" hidden="1" x14ac:dyDescent="0.2">
      <c r="A502" s="7" t="s">
        <v>1025</v>
      </c>
      <c r="C502" s="7" t="s">
        <v>1126</v>
      </c>
      <c r="D502" s="7" t="s">
        <v>38</v>
      </c>
      <c r="E502" s="7">
        <v>23950243</v>
      </c>
      <c r="F502" s="8">
        <v>42478.699791666666</v>
      </c>
      <c r="G502" s="7" t="s">
        <v>38</v>
      </c>
      <c r="H502" s="9">
        <v>24197</v>
      </c>
    </row>
    <row r="503" spans="1:8" s="7" customFormat="1" hidden="1" x14ac:dyDescent="0.2">
      <c r="A503" s="7" t="s">
        <v>1025</v>
      </c>
      <c r="C503" s="7" t="s">
        <v>1127</v>
      </c>
      <c r="D503" s="7" t="s">
        <v>38</v>
      </c>
      <c r="E503" s="7">
        <v>118</v>
      </c>
      <c r="F503" s="8">
        <v>42478.699791666666</v>
      </c>
      <c r="G503" s="7" t="s">
        <v>38</v>
      </c>
      <c r="H503" s="9">
        <v>0</v>
      </c>
    </row>
    <row r="504" spans="1:8" s="7" customFormat="1" hidden="1" x14ac:dyDescent="0.2">
      <c r="A504" s="7" t="s">
        <v>1025</v>
      </c>
      <c r="C504" s="7" t="s">
        <v>1128</v>
      </c>
      <c r="D504" s="7" t="s">
        <v>38</v>
      </c>
      <c r="E504" s="7">
        <v>8</v>
      </c>
      <c r="F504" s="8">
        <v>42635.726967592593</v>
      </c>
      <c r="G504" s="7" t="s">
        <v>38</v>
      </c>
      <c r="H504" s="9">
        <v>0</v>
      </c>
    </row>
    <row r="505" spans="1:8" s="7" customFormat="1" hidden="1" x14ac:dyDescent="0.2">
      <c r="A505" s="7" t="s">
        <v>1025</v>
      </c>
      <c r="C505" s="7" t="s">
        <v>1129</v>
      </c>
      <c r="D505" s="7" t="s">
        <v>38</v>
      </c>
      <c r="E505" s="7">
        <v>9</v>
      </c>
      <c r="F505" s="8">
        <v>42478.699791666666</v>
      </c>
      <c r="G505" s="7" t="s">
        <v>38</v>
      </c>
      <c r="H505" s="9">
        <v>0</v>
      </c>
    </row>
    <row r="506" spans="1:8" s="7" customFormat="1" hidden="1" x14ac:dyDescent="0.2">
      <c r="A506" s="7" t="s">
        <v>1025</v>
      </c>
      <c r="C506" s="7" t="s">
        <v>1130</v>
      </c>
      <c r="D506" s="7" t="s">
        <v>38</v>
      </c>
      <c r="E506" s="7">
        <v>13918</v>
      </c>
      <c r="F506" s="8">
        <v>42482.594733796293</v>
      </c>
      <c r="G506" s="7" t="s">
        <v>38</v>
      </c>
      <c r="H506" s="9">
        <v>0</v>
      </c>
    </row>
    <row r="507" spans="1:8" s="7" customFormat="1" hidden="1" x14ac:dyDescent="0.2">
      <c r="A507" s="7" t="s">
        <v>1025</v>
      </c>
      <c r="C507" s="7" t="s">
        <v>1131</v>
      </c>
      <c r="D507" s="7" t="s">
        <v>1132</v>
      </c>
      <c r="E507" s="7">
        <v>233</v>
      </c>
      <c r="F507" s="8">
        <v>42496.47320601852</v>
      </c>
      <c r="G507" s="7" t="s">
        <v>1132</v>
      </c>
      <c r="H507" s="9">
        <v>0</v>
      </c>
    </row>
    <row r="508" spans="1:8" s="7" customFormat="1" hidden="1" x14ac:dyDescent="0.2">
      <c r="A508" s="7" t="s">
        <v>1025</v>
      </c>
      <c r="C508" s="7" t="s">
        <v>1133</v>
      </c>
      <c r="D508" s="7" t="s">
        <v>1134</v>
      </c>
      <c r="E508" s="7">
        <v>167</v>
      </c>
      <c r="F508" s="8">
        <v>42496.47320601852</v>
      </c>
      <c r="G508" s="7" t="s">
        <v>1134</v>
      </c>
      <c r="H508" s="9">
        <v>1</v>
      </c>
    </row>
    <row r="509" spans="1:8" s="7" customFormat="1" hidden="1" x14ac:dyDescent="0.2">
      <c r="A509" s="7" t="s">
        <v>1025</v>
      </c>
      <c r="C509" s="7" t="s">
        <v>1135</v>
      </c>
      <c r="D509" s="7" t="s">
        <v>1136</v>
      </c>
      <c r="E509" s="7">
        <v>84365</v>
      </c>
      <c r="F509" s="8">
        <v>42496.47320601852</v>
      </c>
      <c r="G509" s="7" t="s">
        <v>1136</v>
      </c>
      <c r="H509" s="9">
        <v>135</v>
      </c>
    </row>
    <row r="510" spans="1:8" s="7" customFormat="1" hidden="1" x14ac:dyDescent="0.2">
      <c r="A510" s="7" t="s">
        <v>1025</v>
      </c>
      <c r="C510" s="7" t="s">
        <v>1137</v>
      </c>
      <c r="D510" s="7" t="s">
        <v>1138</v>
      </c>
      <c r="E510" s="7">
        <v>85370</v>
      </c>
      <c r="F510" s="8">
        <v>42496.47320601852</v>
      </c>
      <c r="G510" s="7" t="s">
        <v>1138</v>
      </c>
      <c r="H510" s="9">
        <v>144</v>
      </c>
    </row>
    <row r="511" spans="1:8" s="7" customFormat="1" hidden="1" x14ac:dyDescent="0.2">
      <c r="A511" s="7" t="s">
        <v>1025</v>
      </c>
      <c r="C511" s="7" t="s">
        <v>1139</v>
      </c>
      <c r="D511" s="7" t="s">
        <v>1140</v>
      </c>
      <c r="E511" s="7">
        <v>23045</v>
      </c>
      <c r="F511" s="8">
        <v>42496.47320601852</v>
      </c>
      <c r="G511" s="7" t="s">
        <v>1140</v>
      </c>
      <c r="H511" s="9">
        <v>23</v>
      </c>
    </row>
    <row r="512" spans="1:8" s="7" customFormat="1" hidden="1" x14ac:dyDescent="0.2">
      <c r="A512" s="7" t="s">
        <v>1025</v>
      </c>
      <c r="C512" s="7" t="s">
        <v>1141</v>
      </c>
      <c r="D512" s="7" t="s">
        <v>1142</v>
      </c>
      <c r="E512" s="7">
        <v>84411</v>
      </c>
      <c r="F512" s="8">
        <v>42496.47320601852</v>
      </c>
      <c r="G512" s="7" t="s">
        <v>1142</v>
      </c>
      <c r="H512" s="9">
        <v>135</v>
      </c>
    </row>
    <row r="513" spans="1:8" s="7" customFormat="1" hidden="1" x14ac:dyDescent="0.2">
      <c r="A513" s="7" t="s">
        <v>1025</v>
      </c>
      <c r="C513" s="7" t="s">
        <v>1143</v>
      </c>
      <c r="D513" s="7" t="s">
        <v>1144</v>
      </c>
      <c r="E513" s="7">
        <v>18549</v>
      </c>
      <c r="F513" s="8">
        <v>42503.021493055552</v>
      </c>
      <c r="G513" s="7" t="s">
        <v>1144</v>
      </c>
      <c r="H513" s="9">
        <v>-2229</v>
      </c>
    </row>
    <row r="514" spans="1:8" s="7" customFormat="1" hidden="1" x14ac:dyDescent="0.2">
      <c r="A514" s="7" t="s">
        <v>1025</v>
      </c>
      <c r="C514" s="7" t="s">
        <v>1145</v>
      </c>
      <c r="D514" s="7" t="s">
        <v>1144</v>
      </c>
      <c r="E514" s="7">
        <v>35007</v>
      </c>
      <c r="F514" s="8">
        <v>42503.017824074072</v>
      </c>
      <c r="G514" s="7" t="s">
        <v>1144</v>
      </c>
      <c r="H514" s="9">
        <v>0</v>
      </c>
    </row>
    <row r="515" spans="1:8" s="7" customFormat="1" hidden="1" x14ac:dyDescent="0.2">
      <c r="A515" s="7" t="s">
        <v>1025</v>
      </c>
      <c r="C515" s="7" t="s">
        <v>1147</v>
      </c>
      <c r="D515" s="7" t="s">
        <v>1148</v>
      </c>
      <c r="E515" s="7">
        <v>8</v>
      </c>
      <c r="F515" s="8">
        <v>42528.635960648149</v>
      </c>
      <c r="G515" s="7" t="s">
        <v>1148</v>
      </c>
      <c r="H515" s="9">
        <v>0</v>
      </c>
    </row>
    <row r="516" spans="1:8" s="7" customFormat="1" hidden="1" x14ac:dyDescent="0.2">
      <c r="A516" s="7" t="s">
        <v>1025</v>
      </c>
      <c r="C516" s="7" t="s">
        <v>1149</v>
      </c>
      <c r="D516" s="7" t="s">
        <v>38</v>
      </c>
      <c r="E516" s="7">
        <v>546546</v>
      </c>
      <c r="F516" s="8">
        <v>42478.699791666666</v>
      </c>
      <c r="G516" s="7" t="s">
        <v>38</v>
      </c>
      <c r="H516" s="9">
        <v>0</v>
      </c>
    </row>
    <row r="517" spans="1:8" x14ac:dyDescent="0.2">
      <c r="A517" t="s">
        <v>1025</v>
      </c>
      <c r="B517" t="s">
        <v>1416</v>
      </c>
      <c r="C517" t="s">
        <v>1263</v>
      </c>
      <c r="D517" t="s">
        <v>1264</v>
      </c>
      <c r="E517">
        <v>29340127</v>
      </c>
      <c r="F517" s="5">
        <v>42478.699791666666</v>
      </c>
      <c r="G517" t="s">
        <v>1264</v>
      </c>
      <c r="H517" s="6">
        <v>55544</v>
      </c>
    </row>
    <row r="518" spans="1:8" s="7" customFormat="1" hidden="1" x14ac:dyDescent="0.2">
      <c r="A518" s="7" t="s">
        <v>1025</v>
      </c>
      <c r="C518" s="7" t="s">
        <v>1150</v>
      </c>
      <c r="D518" s="7" t="s">
        <v>38</v>
      </c>
      <c r="E518" s="7">
        <v>11</v>
      </c>
      <c r="F518" s="8">
        <v>42478.699791666666</v>
      </c>
      <c r="G518" s="7" t="s">
        <v>38</v>
      </c>
      <c r="H518" s="9">
        <v>0</v>
      </c>
    </row>
    <row r="519" spans="1:8" hidden="1" x14ac:dyDescent="0.2">
      <c r="A519" s="7" t="s">
        <v>1025</v>
      </c>
      <c r="B519" s="7"/>
      <c r="C519" s="7" t="s">
        <v>1152</v>
      </c>
      <c r="D519" s="7" t="s">
        <v>38</v>
      </c>
      <c r="E519" s="7">
        <v>6</v>
      </c>
      <c r="F519" s="8">
        <v>42478.699791666666</v>
      </c>
      <c r="G519" s="7" t="s">
        <v>38</v>
      </c>
      <c r="H519" s="9">
        <v>0</v>
      </c>
    </row>
    <row r="520" spans="1:8" s="7" customFormat="1" hidden="1" x14ac:dyDescent="0.2">
      <c r="A520" s="7" t="s">
        <v>1025</v>
      </c>
      <c r="C520" s="7" t="s">
        <v>1153</v>
      </c>
      <c r="D520" s="7" t="s">
        <v>38</v>
      </c>
      <c r="E520" s="7">
        <v>26</v>
      </c>
      <c r="F520" s="8">
        <v>42478.699791666666</v>
      </c>
      <c r="G520" s="7" t="s">
        <v>38</v>
      </c>
      <c r="H520" s="9">
        <v>0</v>
      </c>
    </row>
    <row r="521" spans="1:8" hidden="1" x14ac:dyDescent="0.2">
      <c r="A521" s="7" t="s">
        <v>1025</v>
      </c>
      <c r="B521" s="7"/>
      <c r="C521" s="7" t="s">
        <v>1154</v>
      </c>
      <c r="D521" s="7" t="s">
        <v>1155</v>
      </c>
      <c r="E521" s="7">
        <v>6</v>
      </c>
      <c r="F521" s="8">
        <v>42478.699791666666</v>
      </c>
      <c r="G521" s="7" t="s">
        <v>1155</v>
      </c>
      <c r="H521" s="9">
        <v>0</v>
      </c>
    </row>
    <row r="522" spans="1:8" x14ac:dyDescent="0.2">
      <c r="A522" t="s">
        <v>1025</v>
      </c>
      <c r="B522" t="s">
        <v>1405</v>
      </c>
      <c r="C522" t="s">
        <v>1028</v>
      </c>
      <c r="D522" t="s">
        <v>38</v>
      </c>
      <c r="E522">
        <v>1244</v>
      </c>
      <c r="F522" s="5">
        <v>42478.699791666666</v>
      </c>
      <c r="G522" t="s">
        <v>38</v>
      </c>
      <c r="H522" s="6">
        <v>27</v>
      </c>
    </row>
    <row r="523" spans="1:8" x14ac:dyDescent="0.2">
      <c r="A523" t="s">
        <v>1025</v>
      </c>
      <c r="B523" t="s">
        <v>1405</v>
      </c>
      <c r="C523" t="s">
        <v>1030</v>
      </c>
      <c r="D523" t="s">
        <v>38</v>
      </c>
      <c r="E523">
        <v>1289</v>
      </c>
      <c r="F523" s="5">
        <v>42478.699791666666</v>
      </c>
      <c r="G523" t="s">
        <v>38</v>
      </c>
      <c r="H523" s="6">
        <v>27</v>
      </c>
    </row>
    <row r="524" spans="1:8" hidden="1" x14ac:dyDescent="0.2">
      <c r="A524" s="7" t="s">
        <v>1025</v>
      </c>
      <c r="B524" s="7"/>
      <c r="C524" s="7" t="s">
        <v>1160</v>
      </c>
      <c r="D524" s="7" t="s">
        <v>1161</v>
      </c>
      <c r="E524" s="7">
        <v>9</v>
      </c>
      <c r="F524" s="8">
        <v>42478.699791666666</v>
      </c>
      <c r="G524" s="7" t="s">
        <v>1161</v>
      </c>
      <c r="H524" s="9">
        <v>0</v>
      </c>
    </row>
    <row r="525" spans="1:8" hidden="1" x14ac:dyDescent="0.2">
      <c r="A525" s="7" t="s">
        <v>1025</v>
      </c>
      <c r="B525" s="7"/>
      <c r="C525" s="7" t="s">
        <v>1163</v>
      </c>
      <c r="D525" s="7" t="s">
        <v>38</v>
      </c>
      <c r="E525" s="7">
        <v>1</v>
      </c>
      <c r="F525" s="8">
        <v>42478.699791666666</v>
      </c>
      <c r="G525" s="7" t="s">
        <v>38</v>
      </c>
      <c r="H525" s="9">
        <v>0</v>
      </c>
    </row>
    <row r="526" spans="1:8" s="7" customFormat="1" hidden="1" x14ac:dyDescent="0.2">
      <c r="A526" s="7" t="s">
        <v>1025</v>
      </c>
      <c r="C526" s="7" t="s">
        <v>1164</v>
      </c>
      <c r="D526" s="7" t="s">
        <v>38</v>
      </c>
      <c r="E526" s="7">
        <v>13</v>
      </c>
      <c r="F526" s="8">
        <v>42478.699791666666</v>
      </c>
      <c r="G526" s="7" t="s">
        <v>38</v>
      </c>
      <c r="H526" s="9">
        <v>0</v>
      </c>
    </row>
    <row r="527" spans="1:8" x14ac:dyDescent="0.2">
      <c r="A527" t="s">
        <v>1025</v>
      </c>
      <c r="B527" t="s">
        <v>1405</v>
      </c>
      <c r="C527" t="s">
        <v>1034</v>
      </c>
      <c r="D527" t="s">
        <v>1035</v>
      </c>
      <c r="E527">
        <v>3520802</v>
      </c>
      <c r="F527" s="5">
        <v>42478.699791666666</v>
      </c>
      <c r="G527" t="s">
        <v>1035</v>
      </c>
      <c r="H527" s="6">
        <v>2638</v>
      </c>
    </row>
    <row r="528" spans="1:8" x14ac:dyDescent="0.2">
      <c r="A528" t="s">
        <v>1025</v>
      </c>
      <c r="B528" t="s">
        <v>1405</v>
      </c>
      <c r="C528" t="s">
        <v>1036</v>
      </c>
      <c r="D528" t="s">
        <v>1037</v>
      </c>
      <c r="E528">
        <v>35832406</v>
      </c>
      <c r="F528" s="5">
        <v>42478.699791666666</v>
      </c>
      <c r="G528" t="s">
        <v>1037</v>
      </c>
      <c r="H528" s="6">
        <v>320043</v>
      </c>
    </row>
    <row r="529" spans="1:8" hidden="1" x14ac:dyDescent="0.2">
      <c r="A529" s="7" t="s">
        <v>1025</v>
      </c>
      <c r="B529" s="7"/>
      <c r="C529" s="7" t="s">
        <v>1169</v>
      </c>
      <c r="D529" s="7" t="s">
        <v>38</v>
      </c>
      <c r="E529" s="7">
        <v>9</v>
      </c>
      <c r="F529" s="8">
        <v>42478.699791666666</v>
      </c>
      <c r="G529" s="7" t="s">
        <v>38</v>
      </c>
      <c r="H529" s="9">
        <v>0</v>
      </c>
    </row>
    <row r="530" spans="1:8" x14ac:dyDescent="0.2">
      <c r="A530" t="s">
        <v>1025</v>
      </c>
      <c r="B530" t="s">
        <v>1405</v>
      </c>
      <c r="C530" t="s">
        <v>1185</v>
      </c>
      <c r="D530" t="s">
        <v>38</v>
      </c>
      <c r="E530">
        <v>2328976</v>
      </c>
      <c r="F530" s="5">
        <v>42478.699791666666</v>
      </c>
      <c r="G530" t="s">
        <v>38</v>
      </c>
      <c r="H530" s="6">
        <v>0</v>
      </c>
    </row>
    <row r="531" spans="1:8" x14ac:dyDescent="0.2">
      <c r="A531" t="s">
        <v>1025</v>
      </c>
      <c r="B531" t="s">
        <v>1405</v>
      </c>
      <c r="C531" t="s">
        <v>1186</v>
      </c>
      <c r="D531" t="s">
        <v>38</v>
      </c>
      <c r="E531">
        <v>429082</v>
      </c>
      <c r="F531" s="5">
        <v>42478.699791666666</v>
      </c>
      <c r="G531" t="s">
        <v>38</v>
      </c>
      <c r="H531" s="6">
        <v>0</v>
      </c>
    </row>
    <row r="532" spans="1:8" s="7" customFormat="1" hidden="1" x14ac:dyDescent="0.2">
      <c r="A532" s="7" t="s">
        <v>1025</v>
      </c>
      <c r="C532" s="7" t="s">
        <v>1172</v>
      </c>
      <c r="D532" s="7" t="s">
        <v>38</v>
      </c>
      <c r="E532" s="7">
        <v>1697</v>
      </c>
      <c r="F532" s="8">
        <v>42635.896319444444</v>
      </c>
      <c r="G532" s="7" t="s">
        <v>38</v>
      </c>
      <c r="H532" s="9">
        <v>96</v>
      </c>
    </row>
    <row r="533" spans="1:8" s="7" customFormat="1" hidden="1" x14ac:dyDescent="0.2">
      <c r="A533" s="7" t="s">
        <v>1025</v>
      </c>
      <c r="C533" s="7" t="s">
        <v>1173</v>
      </c>
      <c r="D533" s="7" t="s">
        <v>38</v>
      </c>
      <c r="E533" s="7">
        <v>12</v>
      </c>
      <c r="F533" s="8">
        <v>42478.699791666666</v>
      </c>
      <c r="G533" s="7" t="s">
        <v>38</v>
      </c>
      <c r="H533" s="9">
        <v>0</v>
      </c>
    </row>
    <row r="534" spans="1:8" s="7" customFormat="1" hidden="1" x14ac:dyDescent="0.2">
      <c r="A534" s="7" t="s">
        <v>1025</v>
      </c>
      <c r="C534" s="7" t="s">
        <v>1174</v>
      </c>
      <c r="D534" s="7" t="s">
        <v>38</v>
      </c>
      <c r="E534" s="7">
        <v>27</v>
      </c>
      <c r="F534" s="8">
        <v>42478.699791666666</v>
      </c>
      <c r="G534" s="7" t="s">
        <v>38</v>
      </c>
      <c r="H534" s="9">
        <v>0</v>
      </c>
    </row>
    <row r="535" spans="1:8" x14ac:dyDescent="0.2">
      <c r="A535" t="s">
        <v>1025</v>
      </c>
      <c r="B535" t="s">
        <v>1405</v>
      </c>
      <c r="C535" t="s">
        <v>1187</v>
      </c>
      <c r="D535" t="s">
        <v>38</v>
      </c>
      <c r="E535">
        <v>1528777</v>
      </c>
      <c r="F535" s="5">
        <v>42478.699791666666</v>
      </c>
      <c r="G535" t="s">
        <v>38</v>
      </c>
      <c r="H535" s="6">
        <v>0</v>
      </c>
    </row>
    <row r="536" spans="1:8" s="7" customFormat="1" hidden="1" x14ac:dyDescent="0.2">
      <c r="A536" s="7" t="s">
        <v>1025</v>
      </c>
      <c r="C536" s="7" t="s">
        <v>1179</v>
      </c>
      <c r="D536" s="7" t="s">
        <v>1180</v>
      </c>
      <c r="E536" s="7">
        <v>17</v>
      </c>
      <c r="F536" s="8">
        <v>42478.699791666666</v>
      </c>
      <c r="G536" s="7" t="s">
        <v>1180</v>
      </c>
      <c r="H536" s="9">
        <v>0</v>
      </c>
    </row>
    <row r="537" spans="1:8" hidden="1" x14ac:dyDescent="0.2">
      <c r="A537" s="7" t="s">
        <v>1025</v>
      </c>
      <c r="B537" s="7"/>
      <c r="C537" s="7" t="s">
        <v>1181</v>
      </c>
      <c r="D537" s="7" t="s">
        <v>38</v>
      </c>
      <c r="E537" s="7">
        <v>1</v>
      </c>
      <c r="F537" s="8">
        <v>42478.699791666666</v>
      </c>
      <c r="G537" s="7" t="s">
        <v>38</v>
      </c>
      <c r="H537" s="9">
        <v>0</v>
      </c>
    </row>
    <row r="538" spans="1:8" s="7" customFormat="1" hidden="1" x14ac:dyDescent="0.2">
      <c r="A538" s="7" t="s">
        <v>1025</v>
      </c>
      <c r="C538" s="7" t="s">
        <v>1182</v>
      </c>
      <c r="D538" s="7" t="s">
        <v>38</v>
      </c>
      <c r="E538" s="7">
        <v>45</v>
      </c>
      <c r="F538" s="8">
        <v>42478.699791666666</v>
      </c>
      <c r="G538" s="7" t="s">
        <v>38</v>
      </c>
      <c r="H538" s="9">
        <v>0</v>
      </c>
    </row>
    <row r="539" spans="1:8" s="7" customFormat="1" hidden="1" x14ac:dyDescent="0.2">
      <c r="A539" s="7" t="s">
        <v>1025</v>
      </c>
      <c r="C539" s="7" t="s">
        <v>1183</v>
      </c>
      <c r="D539" s="7" t="s">
        <v>38</v>
      </c>
      <c r="E539" s="7">
        <v>981</v>
      </c>
      <c r="F539" s="8">
        <v>42478.699791666666</v>
      </c>
      <c r="G539" s="7" t="s">
        <v>38</v>
      </c>
      <c r="H539" s="9">
        <v>0</v>
      </c>
    </row>
    <row r="540" spans="1:8" s="7" customFormat="1" hidden="1" x14ac:dyDescent="0.2">
      <c r="A540" s="7" t="s">
        <v>1025</v>
      </c>
      <c r="C540" s="7" t="s">
        <v>1184</v>
      </c>
      <c r="D540" s="7" t="s">
        <v>38</v>
      </c>
      <c r="E540" s="7">
        <v>50688</v>
      </c>
      <c r="F540" s="8">
        <v>42478.699791666666</v>
      </c>
      <c r="G540" s="7" t="s">
        <v>38</v>
      </c>
      <c r="H540" s="9">
        <v>0</v>
      </c>
    </row>
    <row r="541" spans="1:8" x14ac:dyDescent="0.2">
      <c r="A541" t="s">
        <v>1025</v>
      </c>
      <c r="B541" t="s">
        <v>1405</v>
      </c>
      <c r="C541" t="s">
        <v>1188</v>
      </c>
      <c r="D541" t="s">
        <v>38</v>
      </c>
      <c r="E541">
        <v>519665</v>
      </c>
      <c r="F541" s="5">
        <v>42478.699791666666</v>
      </c>
      <c r="G541" t="s">
        <v>38</v>
      </c>
      <c r="H541" s="6">
        <v>0</v>
      </c>
    </row>
    <row r="542" spans="1:8" x14ac:dyDescent="0.2">
      <c r="A542" t="s">
        <v>1025</v>
      </c>
      <c r="B542" t="s">
        <v>1405</v>
      </c>
      <c r="C542" t="s">
        <v>1189</v>
      </c>
      <c r="D542" t="s">
        <v>38</v>
      </c>
      <c r="E542">
        <v>428968</v>
      </c>
      <c r="F542" s="5">
        <v>42478.699791666666</v>
      </c>
      <c r="G542" t="s">
        <v>38</v>
      </c>
      <c r="H542" s="6">
        <v>0</v>
      </c>
    </row>
    <row r="543" spans="1:8" x14ac:dyDescent="0.2">
      <c r="A543" t="s">
        <v>1025</v>
      </c>
      <c r="B543" t="s">
        <v>1405</v>
      </c>
      <c r="C543" t="s">
        <v>1193</v>
      </c>
      <c r="D543" t="s">
        <v>1194</v>
      </c>
      <c r="E543">
        <v>1282</v>
      </c>
      <c r="F543" s="5">
        <v>42478.699791666666</v>
      </c>
      <c r="G543" t="s">
        <v>1194</v>
      </c>
      <c r="H543" s="6">
        <v>27</v>
      </c>
    </row>
    <row r="544" spans="1:8" x14ac:dyDescent="0.2">
      <c r="A544" t="s">
        <v>1025</v>
      </c>
      <c r="B544" t="s">
        <v>1405</v>
      </c>
      <c r="C544" t="s">
        <v>1283</v>
      </c>
      <c r="D544" t="s">
        <v>1284</v>
      </c>
      <c r="E544">
        <v>33507282</v>
      </c>
      <c r="F544" s="5">
        <v>42478.699791666666</v>
      </c>
      <c r="G544" t="s">
        <v>1284</v>
      </c>
      <c r="H544" s="6">
        <v>2428892</v>
      </c>
    </row>
    <row r="545" spans="1:8" x14ac:dyDescent="0.2">
      <c r="A545" t="s">
        <v>1025</v>
      </c>
      <c r="B545" t="s">
        <v>1405</v>
      </c>
      <c r="C545" t="s">
        <v>1288</v>
      </c>
      <c r="D545" t="s">
        <v>1289</v>
      </c>
      <c r="E545">
        <v>50108988</v>
      </c>
      <c r="F545" s="5">
        <v>42478.699791666666</v>
      </c>
      <c r="G545" t="s">
        <v>1289</v>
      </c>
      <c r="H545" s="6">
        <v>600296</v>
      </c>
    </row>
    <row r="546" spans="1:8" x14ac:dyDescent="0.2">
      <c r="A546" t="s">
        <v>1025</v>
      </c>
      <c r="B546" t="s">
        <v>1404</v>
      </c>
      <c r="C546" t="s">
        <v>1049</v>
      </c>
      <c r="D546" t="s">
        <v>38</v>
      </c>
      <c r="E546">
        <v>1051</v>
      </c>
      <c r="F546" s="5">
        <v>42478.699791666666</v>
      </c>
      <c r="G546" t="s">
        <v>38</v>
      </c>
      <c r="H546" s="6">
        <v>4</v>
      </c>
    </row>
    <row r="547" spans="1:8" hidden="1" x14ac:dyDescent="0.2">
      <c r="A547" s="7" t="s">
        <v>1025</v>
      </c>
      <c r="B547" s="7"/>
      <c r="C547" s="7" t="s">
        <v>1195</v>
      </c>
      <c r="D547" s="7" t="s">
        <v>1196</v>
      </c>
      <c r="E547" s="7">
        <v>5</v>
      </c>
      <c r="F547" s="8">
        <v>42478.699791666666</v>
      </c>
      <c r="G547" s="7" t="s">
        <v>1196</v>
      </c>
      <c r="H547" s="9">
        <v>0</v>
      </c>
    </row>
    <row r="548" spans="1:8" hidden="1" x14ac:dyDescent="0.2">
      <c r="A548" s="7" t="s">
        <v>1025</v>
      </c>
      <c r="B548" s="7"/>
      <c r="C548" s="7" t="s">
        <v>1197</v>
      </c>
      <c r="D548" s="7" t="s">
        <v>38</v>
      </c>
      <c r="E548" s="7">
        <v>1</v>
      </c>
      <c r="F548" s="8">
        <v>42478.699791666666</v>
      </c>
      <c r="G548" s="7" t="s">
        <v>38</v>
      </c>
      <c r="H548" s="9">
        <v>0</v>
      </c>
    </row>
    <row r="549" spans="1:8" s="7" customFormat="1" hidden="1" x14ac:dyDescent="0.2">
      <c r="A549" s="7" t="s">
        <v>1025</v>
      </c>
      <c r="C549" s="7" t="s">
        <v>1198</v>
      </c>
      <c r="D549" s="7" t="s">
        <v>38</v>
      </c>
      <c r="E549" s="7">
        <v>13568</v>
      </c>
      <c r="F549" s="8">
        <v>42527.623206018521</v>
      </c>
      <c r="G549" s="7" t="s">
        <v>38</v>
      </c>
      <c r="H549" s="9">
        <v>0</v>
      </c>
    </row>
    <row r="550" spans="1:8" s="7" customFormat="1" hidden="1" x14ac:dyDescent="0.2">
      <c r="A550" s="7" t="s">
        <v>1025</v>
      </c>
      <c r="C550" s="7" t="s">
        <v>1199</v>
      </c>
      <c r="D550" s="7" t="s">
        <v>38</v>
      </c>
      <c r="E550" s="7">
        <v>14</v>
      </c>
      <c r="F550" s="8">
        <v>42478.699791666666</v>
      </c>
      <c r="G550" s="7" t="s">
        <v>38</v>
      </c>
      <c r="H550" s="9">
        <v>0</v>
      </c>
    </row>
    <row r="551" spans="1:8" s="7" customFormat="1" hidden="1" x14ac:dyDescent="0.2">
      <c r="A551" s="7" t="s">
        <v>1025</v>
      </c>
      <c r="C551" s="7" t="s">
        <v>1200</v>
      </c>
      <c r="D551" s="7" t="s">
        <v>38</v>
      </c>
      <c r="E551" s="7">
        <v>9515</v>
      </c>
      <c r="F551" s="8">
        <v>42478.699791666666</v>
      </c>
      <c r="G551" s="7" t="s">
        <v>38</v>
      </c>
      <c r="H551" s="9">
        <v>0</v>
      </c>
    </row>
    <row r="552" spans="1:8" s="7" customFormat="1" hidden="1" x14ac:dyDescent="0.2">
      <c r="A552" s="7" t="s">
        <v>1025</v>
      </c>
      <c r="C552" s="7" t="s">
        <v>1201</v>
      </c>
      <c r="D552" s="7" t="s">
        <v>38</v>
      </c>
      <c r="E552" s="7">
        <v>23562</v>
      </c>
      <c r="F552" s="8">
        <v>42478.699791666666</v>
      </c>
      <c r="G552" s="7" t="s">
        <v>38</v>
      </c>
      <c r="H552" s="9">
        <v>0</v>
      </c>
    </row>
    <row r="553" spans="1:8" s="7" customFormat="1" hidden="1" x14ac:dyDescent="0.2">
      <c r="A553" s="7" t="s">
        <v>1025</v>
      </c>
      <c r="C553" s="7" t="s">
        <v>1202</v>
      </c>
      <c r="D553" s="7" t="s">
        <v>38</v>
      </c>
      <c r="E553" s="7">
        <v>64946355</v>
      </c>
      <c r="F553" s="8">
        <v>42478.699791666666</v>
      </c>
      <c r="G553" s="7" t="s">
        <v>38</v>
      </c>
      <c r="H553" s="9">
        <v>186184</v>
      </c>
    </row>
    <row r="554" spans="1:8" s="10" customFormat="1" hidden="1" x14ac:dyDescent="0.2">
      <c r="A554" s="10" t="s">
        <v>1025</v>
      </c>
      <c r="C554" s="10" t="s">
        <v>1203</v>
      </c>
      <c r="D554" s="10" t="s">
        <v>1204</v>
      </c>
      <c r="E554" s="10">
        <v>17147418</v>
      </c>
      <c r="F554" s="11">
        <v>42563.729074074072</v>
      </c>
      <c r="G554" s="10" t="s">
        <v>1204</v>
      </c>
      <c r="H554" s="12">
        <v>89050</v>
      </c>
    </row>
    <row r="555" spans="1:8" s="7" customFormat="1" hidden="1" x14ac:dyDescent="0.2">
      <c r="A555" s="7" t="s">
        <v>1025</v>
      </c>
      <c r="C555" s="7" t="s">
        <v>1205</v>
      </c>
      <c r="D555" s="7" t="s">
        <v>38</v>
      </c>
      <c r="E555" s="7">
        <v>11</v>
      </c>
      <c r="F555" s="8">
        <v>42478.699791666666</v>
      </c>
      <c r="G555" s="7" t="s">
        <v>38</v>
      </c>
      <c r="H555" s="9">
        <v>0</v>
      </c>
    </row>
    <row r="556" spans="1:8" s="10" customFormat="1" hidden="1" x14ac:dyDescent="0.2">
      <c r="A556" s="10" t="s">
        <v>1025</v>
      </c>
      <c r="C556" s="10" t="s">
        <v>1207</v>
      </c>
      <c r="D556" s="10" t="s">
        <v>38</v>
      </c>
      <c r="E556" s="10">
        <v>57</v>
      </c>
      <c r="F556" s="11">
        <v>42478.699791666666</v>
      </c>
      <c r="G556" s="10" t="s">
        <v>38</v>
      </c>
      <c r="H556" s="12">
        <v>0</v>
      </c>
    </row>
    <row r="557" spans="1:8" s="10" customFormat="1" hidden="1" x14ac:dyDescent="0.2">
      <c r="A557" s="10" t="s">
        <v>1025</v>
      </c>
      <c r="C557" s="10" t="s">
        <v>1208</v>
      </c>
      <c r="D557" s="10" t="s">
        <v>38</v>
      </c>
      <c r="E557" s="10">
        <v>54827</v>
      </c>
      <c r="F557" s="11">
        <v>42478.699791666666</v>
      </c>
      <c r="G557" s="10" t="s">
        <v>38</v>
      </c>
      <c r="H557" s="12">
        <v>0</v>
      </c>
    </row>
    <row r="558" spans="1:8" s="10" customFormat="1" hidden="1" x14ac:dyDescent="0.2">
      <c r="A558" s="10" t="s">
        <v>1025</v>
      </c>
      <c r="C558" s="10" t="s">
        <v>1209</v>
      </c>
      <c r="D558" s="10" t="s">
        <v>38</v>
      </c>
      <c r="E558" s="10">
        <v>359</v>
      </c>
      <c r="F558" s="11">
        <v>42478.699791666666</v>
      </c>
      <c r="G558" s="10" t="s">
        <v>38</v>
      </c>
      <c r="H558" s="12">
        <v>0</v>
      </c>
    </row>
    <row r="559" spans="1:8" hidden="1" x14ac:dyDescent="0.2">
      <c r="A559" s="7" t="s">
        <v>1025</v>
      </c>
      <c r="B559" s="7"/>
      <c r="C559" s="7" t="s">
        <v>1210</v>
      </c>
      <c r="D559" s="7" t="s">
        <v>38</v>
      </c>
      <c r="E559" s="7">
        <v>2</v>
      </c>
      <c r="F559" s="8">
        <v>42478.699791666666</v>
      </c>
      <c r="G559" s="7" t="s">
        <v>38</v>
      </c>
      <c r="H559" s="9">
        <v>0</v>
      </c>
    </row>
    <row r="560" spans="1:8" s="7" customFormat="1" hidden="1" x14ac:dyDescent="0.2">
      <c r="A560" s="7" t="s">
        <v>1025</v>
      </c>
      <c r="C560" s="7" t="s">
        <v>1211</v>
      </c>
      <c r="D560" s="7" t="s">
        <v>38</v>
      </c>
      <c r="E560" s="7">
        <v>12</v>
      </c>
      <c r="F560" s="8">
        <v>42478.699791666666</v>
      </c>
      <c r="G560" s="7" t="s">
        <v>38</v>
      </c>
      <c r="H560" s="9">
        <v>0</v>
      </c>
    </row>
    <row r="561" spans="1:8" s="7" customFormat="1" hidden="1" x14ac:dyDescent="0.2">
      <c r="A561" s="7" t="s">
        <v>1025</v>
      </c>
      <c r="C561" s="7" t="s">
        <v>1212</v>
      </c>
      <c r="D561" s="7" t="s">
        <v>38</v>
      </c>
      <c r="E561" s="7">
        <v>14</v>
      </c>
      <c r="F561" s="8">
        <v>42478.699791666666</v>
      </c>
      <c r="G561" s="7" t="s">
        <v>38</v>
      </c>
      <c r="H561" s="9">
        <v>0</v>
      </c>
    </row>
    <row r="562" spans="1:8" s="10" customFormat="1" hidden="1" x14ac:dyDescent="0.2">
      <c r="A562" s="10" t="s">
        <v>1025</v>
      </c>
      <c r="C562" s="10" t="s">
        <v>1213</v>
      </c>
      <c r="D562" s="10" t="s">
        <v>1214</v>
      </c>
      <c r="E562" s="10">
        <v>127</v>
      </c>
      <c r="F562" s="11">
        <v>42478.699791666666</v>
      </c>
      <c r="G562" s="10" t="s">
        <v>1214</v>
      </c>
      <c r="H562" s="12">
        <v>0</v>
      </c>
    </row>
    <row r="563" spans="1:8" s="10" customFormat="1" hidden="1" x14ac:dyDescent="0.2">
      <c r="A563" s="10" t="s">
        <v>1025</v>
      </c>
      <c r="C563" s="10" t="s">
        <v>1215</v>
      </c>
      <c r="D563" s="10" t="s">
        <v>38</v>
      </c>
      <c r="E563" s="10">
        <v>98</v>
      </c>
      <c r="F563" s="11">
        <v>42485.669317129628</v>
      </c>
      <c r="G563" s="10" t="s">
        <v>38</v>
      </c>
      <c r="H563" s="12">
        <v>0</v>
      </c>
    </row>
    <row r="564" spans="1:8" s="10" customFormat="1" hidden="1" x14ac:dyDescent="0.2">
      <c r="A564" s="10" t="s">
        <v>1025</v>
      </c>
      <c r="C564" s="10" t="s">
        <v>1216</v>
      </c>
      <c r="D564" s="10" t="s">
        <v>38</v>
      </c>
      <c r="E564" s="10">
        <v>2805</v>
      </c>
      <c r="F564" s="11">
        <v>42478.699791666666</v>
      </c>
      <c r="G564" s="10" t="s">
        <v>38</v>
      </c>
      <c r="H564" s="12">
        <v>0</v>
      </c>
    </row>
    <row r="565" spans="1:8" s="10" customFormat="1" hidden="1" x14ac:dyDescent="0.2">
      <c r="A565" s="10" t="s">
        <v>1025</v>
      </c>
      <c r="C565" s="10" t="s">
        <v>1217</v>
      </c>
      <c r="D565" s="10" t="s">
        <v>38</v>
      </c>
      <c r="E565" s="10">
        <v>31</v>
      </c>
      <c r="F565" s="11">
        <v>42478.699791666666</v>
      </c>
      <c r="G565" s="10" t="s">
        <v>38</v>
      </c>
      <c r="H565" s="12">
        <v>0</v>
      </c>
    </row>
    <row r="566" spans="1:8" s="7" customFormat="1" hidden="1" x14ac:dyDescent="0.2">
      <c r="A566" s="7" t="s">
        <v>1025</v>
      </c>
      <c r="C566" s="7" t="s">
        <v>1220</v>
      </c>
      <c r="D566" s="7" t="s">
        <v>38</v>
      </c>
      <c r="E566" s="7">
        <v>2</v>
      </c>
      <c r="F566" s="8">
        <v>42478.699791666666</v>
      </c>
      <c r="G566" s="7" t="s">
        <v>38</v>
      </c>
      <c r="H566" s="9">
        <v>0</v>
      </c>
    </row>
    <row r="567" spans="1:8" s="15" customFormat="1" x14ac:dyDescent="0.2">
      <c r="A567" t="s">
        <v>1025</v>
      </c>
      <c r="B567" t="s">
        <v>1420</v>
      </c>
      <c r="C567" t="s">
        <v>737</v>
      </c>
      <c r="D567" t="s">
        <v>1256</v>
      </c>
      <c r="E567">
        <v>34167624</v>
      </c>
      <c r="F567" s="5">
        <v>42478.699791666666</v>
      </c>
      <c r="G567" t="s">
        <v>1256</v>
      </c>
      <c r="H567" s="6">
        <v>385222</v>
      </c>
    </row>
    <row r="568" spans="1:8" s="10" customFormat="1" hidden="1" x14ac:dyDescent="0.2">
      <c r="A568" s="10" t="s">
        <v>1025</v>
      </c>
      <c r="C568" s="10" t="s">
        <v>1223</v>
      </c>
      <c r="D568" s="10" t="s">
        <v>1224</v>
      </c>
      <c r="E568" s="10">
        <v>129780</v>
      </c>
      <c r="F568" s="11">
        <v>42478.699791666666</v>
      </c>
      <c r="G568" s="10" t="s">
        <v>1224</v>
      </c>
      <c r="H568" s="12">
        <v>0</v>
      </c>
    </row>
    <row r="569" spans="1:8" s="7" customFormat="1" hidden="1" x14ac:dyDescent="0.2">
      <c r="A569" s="7" t="s">
        <v>1025</v>
      </c>
      <c r="C569" s="7" t="s">
        <v>1225</v>
      </c>
      <c r="D569" s="7" t="s">
        <v>1226</v>
      </c>
      <c r="E569" s="7">
        <v>2</v>
      </c>
      <c r="F569" s="8">
        <v>42485.714641203704</v>
      </c>
      <c r="G569" s="7" t="s">
        <v>1226</v>
      </c>
      <c r="H569" s="9">
        <v>0</v>
      </c>
    </row>
    <row r="570" spans="1:8" s="10" customFormat="1" hidden="1" x14ac:dyDescent="0.2">
      <c r="A570" s="10" t="s">
        <v>1025</v>
      </c>
      <c r="C570" s="10" t="s">
        <v>1227</v>
      </c>
      <c r="D570" s="10" t="s">
        <v>1228</v>
      </c>
      <c r="E570" s="10">
        <v>59905</v>
      </c>
      <c r="F570" s="11">
        <v>42653.49496527778</v>
      </c>
      <c r="G570" s="10" t="s">
        <v>1228</v>
      </c>
      <c r="H570" s="12">
        <v>50503</v>
      </c>
    </row>
    <row r="571" spans="1:8" s="10" customFormat="1" hidden="1" x14ac:dyDescent="0.2">
      <c r="A571" s="10" t="s">
        <v>1025</v>
      </c>
      <c r="C571" s="10" t="s">
        <v>1229</v>
      </c>
      <c r="D571" s="10" t="s">
        <v>38</v>
      </c>
      <c r="E571" s="10">
        <v>154</v>
      </c>
      <c r="F571" s="11">
        <v>42478.699791666666</v>
      </c>
      <c r="G571" s="10" t="s">
        <v>38</v>
      </c>
      <c r="H571" s="12">
        <v>0</v>
      </c>
    </row>
    <row r="572" spans="1:8" s="10" customFormat="1" hidden="1" x14ac:dyDescent="0.2">
      <c r="A572" s="10" t="s">
        <v>1025</v>
      </c>
      <c r="C572" s="10" t="s">
        <v>1230</v>
      </c>
      <c r="D572" s="10" t="s">
        <v>38</v>
      </c>
      <c r="E572" s="10">
        <v>82</v>
      </c>
      <c r="F572" s="11">
        <v>42478.699791666666</v>
      </c>
      <c r="G572" s="10" t="s">
        <v>38</v>
      </c>
      <c r="H572" s="12">
        <v>0</v>
      </c>
    </row>
    <row r="573" spans="1:8" s="10" customFormat="1" hidden="1" x14ac:dyDescent="0.2">
      <c r="A573" s="10" t="s">
        <v>1025</v>
      </c>
      <c r="C573" s="10" t="s">
        <v>1231</v>
      </c>
      <c r="D573" s="10" t="s">
        <v>38</v>
      </c>
      <c r="E573" s="10">
        <v>108665</v>
      </c>
      <c r="F573" s="11">
        <v>42478.699791666666</v>
      </c>
      <c r="G573" s="10" t="s">
        <v>38</v>
      </c>
      <c r="H573" s="12">
        <v>0</v>
      </c>
    </row>
    <row r="574" spans="1:8" s="10" customFormat="1" hidden="1" x14ac:dyDescent="0.2">
      <c r="A574" s="10" t="s">
        <v>1025</v>
      </c>
      <c r="C574" s="10" t="s">
        <v>1232</v>
      </c>
      <c r="D574" s="10" t="s">
        <v>38</v>
      </c>
      <c r="E574" s="10">
        <v>55</v>
      </c>
      <c r="F574" s="11">
        <v>42478.699791666666</v>
      </c>
      <c r="G574" s="10" t="s">
        <v>38</v>
      </c>
      <c r="H574" s="12">
        <v>0</v>
      </c>
    </row>
    <row r="575" spans="1:8" s="10" customFormat="1" hidden="1" x14ac:dyDescent="0.2">
      <c r="A575" s="10" t="s">
        <v>1025</v>
      </c>
      <c r="C575" s="10" t="s">
        <v>1233</v>
      </c>
      <c r="D575" s="10" t="s">
        <v>38</v>
      </c>
      <c r="E575" s="10">
        <v>102</v>
      </c>
      <c r="F575" s="11">
        <v>42478.699791666666</v>
      </c>
      <c r="G575" s="10" t="s">
        <v>38</v>
      </c>
      <c r="H575" s="12">
        <v>0</v>
      </c>
    </row>
    <row r="576" spans="1:8" s="10" customFormat="1" hidden="1" x14ac:dyDescent="0.2">
      <c r="A576" s="10" t="s">
        <v>1025</v>
      </c>
      <c r="C576" s="10" t="s">
        <v>1234</v>
      </c>
      <c r="D576" s="10" t="s">
        <v>38</v>
      </c>
      <c r="E576" s="10">
        <v>63</v>
      </c>
      <c r="F576" s="11">
        <v>42598.892627314817</v>
      </c>
      <c r="G576" s="10" t="s">
        <v>38</v>
      </c>
      <c r="H576" s="12">
        <v>0</v>
      </c>
    </row>
    <row r="577" spans="1:8" s="10" customFormat="1" hidden="1" x14ac:dyDescent="0.2">
      <c r="A577" s="10" t="s">
        <v>1025</v>
      </c>
      <c r="C577" s="10" t="s">
        <v>1235</v>
      </c>
      <c r="D577" s="10" t="s">
        <v>38</v>
      </c>
      <c r="E577" s="10">
        <v>27</v>
      </c>
      <c r="F577" s="11">
        <v>42478.699791666666</v>
      </c>
      <c r="G577" s="10" t="s">
        <v>38</v>
      </c>
      <c r="H577" s="12">
        <v>0</v>
      </c>
    </row>
    <row r="578" spans="1:8" s="10" customFormat="1" hidden="1" x14ac:dyDescent="0.2">
      <c r="A578" s="10" t="s">
        <v>1025</v>
      </c>
      <c r="C578" s="10" t="s">
        <v>1236</v>
      </c>
      <c r="D578" s="10" t="s">
        <v>38</v>
      </c>
      <c r="E578" s="10">
        <v>52</v>
      </c>
      <c r="F578" s="11">
        <v>42478.699791666666</v>
      </c>
      <c r="G578" s="10" t="s">
        <v>38</v>
      </c>
      <c r="H578" s="12">
        <v>0</v>
      </c>
    </row>
    <row r="579" spans="1:8" s="7" customFormat="1" hidden="1" x14ac:dyDescent="0.2">
      <c r="A579" s="7" t="s">
        <v>1025</v>
      </c>
      <c r="C579" s="7" t="s">
        <v>1237</v>
      </c>
      <c r="D579" s="7" t="s">
        <v>38</v>
      </c>
      <c r="E579" s="7">
        <v>11</v>
      </c>
      <c r="F579" s="8">
        <v>42478.699791666666</v>
      </c>
      <c r="G579" s="7" t="s">
        <v>38</v>
      </c>
      <c r="H579" s="9">
        <v>0</v>
      </c>
    </row>
    <row r="580" spans="1:8" x14ac:dyDescent="0.2">
      <c r="A580" t="s">
        <v>1025</v>
      </c>
      <c r="B580" t="s">
        <v>1420</v>
      </c>
      <c r="C580" t="s">
        <v>1305</v>
      </c>
      <c r="D580" t="s">
        <v>38</v>
      </c>
      <c r="E580">
        <v>2532</v>
      </c>
      <c r="F580" s="5">
        <v>42592.959328703706</v>
      </c>
      <c r="G580" t="s">
        <v>38</v>
      </c>
      <c r="H580" s="6">
        <v>71</v>
      </c>
    </row>
    <row r="581" spans="1:8" s="10" customFormat="1" hidden="1" x14ac:dyDescent="0.2">
      <c r="A581" s="10" t="s">
        <v>1025</v>
      </c>
      <c r="C581" s="10" t="s">
        <v>1240</v>
      </c>
      <c r="D581" s="10" t="s">
        <v>38</v>
      </c>
      <c r="E581" s="10">
        <v>16470</v>
      </c>
      <c r="F581" s="11">
        <v>42478.699791666666</v>
      </c>
      <c r="G581" s="10" t="s">
        <v>38</v>
      </c>
      <c r="H581" s="12">
        <v>0</v>
      </c>
    </row>
    <row r="582" spans="1:8" s="10" customFormat="1" hidden="1" x14ac:dyDescent="0.2">
      <c r="A582" s="10" t="s">
        <v>1025</v>
      </c>
      <c r="C582" s="10" t="s">
        <v>1241</v>
      </c>
      <c r="D582" s="10" t="s">
        <v>38</v>
      </c>
      <c r="E582" s="10">
        <v>151</v>
      </c>
      <c r="F582" s="11">
        <v>42478.699791666666</v>
      </c>
      <c r="G582" s="10" t="s">
        <v>38</v>
      </c>
      <c r="H582" s="12">
        <v>0</v>
      </c>
    </row>
    <row r="583" spans="1:8" x14ac:dyDescent="0.2">
      <c r="A583" t="s">
        <v>1025</v>
      </c>
      <c r="B583" t="s">
        <v>1420</v>
      </c>
      <c r="C583" t="s">
        <v>1306</v>
      </c>
      <c r="D583" t="s">
        <v>38</v>
      </c>
      <c r="E583">
        <v>10048859</v>
      </c>
      <c r="F583" s="5">
        <v>42592.959328703706</v>
      </c>
      <c r="G583" t="s">
        <v>38</v>
      </c>
      <c r="H583" s="6">
        <v>188062</v>
      </c>
    </row>
    <row r="584" spans="1:8" s="10" customFormat="1" hidden="1" x14ac:dyDescent="0.2">
      <c r="A584" s="10" t="s">
        <v>1025</v>
      </c>
      <c r="C584" s="10" t="s">
        <v>1244</v>
      </c>
      <c r="D584" s="10" t="s">
        <v>1245</v>
      </c>
      <c r="E584" s="10">
        <v>7145657</v>
      </c>
      <c r="F584" s="11">
        <v>42478.699791666666</v>
      </c>
      <c r="G584" s="10" t="s">
        <v>1245</v>
      </c>
      <c r="H584" s="12">
        <v>7770</v>
      </c>
    </row>
    <row r="585" spans="1:8" s="10" customFormat="1" hidden="1" x14ac:dyDescent="0.2">
      <c r="A585" s="10" t="s">
        <v>1025</v>
      </c>
      <c r="C585" s="10" t="s">
        <v>1246</v>
      </c>
      <c r="D585" s="10" t="s">
        <v>38</v>
      </c>
      <c r="E585" s="10">
        <v>442</v>
      </c>
      <c r="F585" s="11">
        <v>42478.699791666666</v>
      </c>
      <c r="G585" s="10" t="s">
        <v>38</v>
      </c>
      <c r="H585" s="12">
        <v>0</v>
      </c>
    </row>
    <row r="586" spans="1:8" x14ac:dyDescent="0.2">
      <c r="A586" t="s">
        <v>1025</v>
      </c>
      <c r="B586" t="s">
        <v>1406</v>
      </c>
      <c r="C586" t="s">
        <v>1057</v>
      </c>
      <c r="D586" t="s">
        <v>1058</v>
      </c>
      <c r="E586">
        <v>749749</v>
      </c>
      <c r="F586" s="5">
        <v>42478.699791666666</v>
      </c>
      <c r="G586" t="s">
        <v>1058</v>
      </c>
      <c r="H586" s="6">
        <v>616</v>
      </c>
    </row>
    <row r="587" spans="1:8" s="10" customFormat="1" hidden="1" x14ac:dyDescent="0.2">
      <c r="A587" s="10" t="s">
        <v>1025</v>
      </c>
      <c r="C587" s="10" t="s">
        <v>1249</v>
      </c>
      <c r="D587" s="10" t="s">
        <v>1250</v>
      </c>
      <c r="E587" s="10">
        <v>11809175</v>
      </c>
      <c r="F587" s="11">
        <v>42478.699791666666</v>
      </c>
      <c r="G587" s="10" t="s">
        <v>1250</v>
      </c>
      <c r="H587" s="12">
        <v>0</v>
      </c>
    </row>
    <row r="588" spans="1:8" x14ac:dyDescent="0.2">
      <c r="A588" t="s">
        <v>1025</v>
      </c>
      <c r="B588" t="s">
        <v>1389</v>
      </c>
      <c r="C588" t="s">
        <v>1254</v>
      </c>
      <c r="D588" t="s">
        <v>1255</v>
      </c>
      <c r="E588">
        <v>1071227</v>
      </c>
      <c r="F588" s="5">
        <v>42478.699791666666</v>
      </c>
      <c r="G588" t="s">
        <v>1255</v>
      </c>
      <c r="H588" s="6">
        <v>651</v>
      </c>
    </row>
    <row r="589" spans="1:8" s="10" customFormat="1" hidden="1" x14ac:dyDescent="0.2">
      <c r="A589" s="10" t="s">
        <v>1025</v>
      </c>
      <c r="C589" s="10" t="s">
        <v>1252</v>
      </c>
      <c r="D589" s="10" t="s">
        <v>1253</v>
      </c>
      <c r="E589" s="10">
        <v>798799</v>
      </c>
      <c r="F589" s="11">
        <v>42478.699791666666</v>
      </c>
      <c r="G589" s="10" t="s">
        <v>1253</v>
      </c>
      <c r="H589" s="12">
        <v>331</v>
      </c>
    </row>
    <row r="590" spans="1:8" x14ac:dyDescent="0.2">
      <c r="A590" t="s">
        <v>1025</v>
      </c>
      <c r="B590" t="s">
        <v>1421</v>
      </c>
      <c r="C590" t="s">
        <v>1294</v>
      </c>
      <c r="D590" t="s">
        <v>1295</v>
      </c>
      <c r="E590">
        <v>22904</v>
      </c>
      <c r="F590" s="5">
        <v>42478.699791666666</v>
      </c>
      <c r="G590" t="s">
        <v>1295</v>
      </c>
      <c r="H590" s="6">
        <v>533</v>
      </c>
    </row>
    <row r="591" spans="1:8" x14ac:dyDescent="0.2">
      <c r="A591" t="s">
        <v>1025</v>
      </c>
      <c r="B591" t="s">
        <v>1421</v>
      </c>
      <c r="C591" t="s">
        <v>1313</v>
      </c>
      <c r="D591" t="s">
        <v>38</v>
      </c>
      <c r="E591">
        <v>3202975</v>
      </c>
      <c r="F591" s="5">
        <v>42478.699791666666</v>
      </c>
      <c r="G591" t="s">
        <v>38</v>
      </c>
      <c r="H591" s="6">
        <v>4759</v>
      </c>
    </row>
    <row r="592" spans="1:8" s="10" customFormat="1" hidden="1" x14ac:dyDescent="0.2">
      <c r="A592" s="10" t="s">
        <v>1025</v>
      </c>
      <c r="C592" s="10" t="s">
        <v>1257</v>
      </c>
      <c r="D592" s="10" t="s">
        <v>38</v>
      </c>
      <c r="E592" s="10">
        <v>3622</v>
      </c>
      <c r="F592" s="11">
        <v>42478.699791666666</v>
      </c>
      <c r="G592" s="10" t="s">
        <v>38</v>
      </c>
      <c r="H592" s="12">
        <v>0</v>
      </c>
    </row>
    <row r="593" spans="1:8" s="10" customFormat="1" hidden="1" x14ac:dyDescent="0.2">
      <c r="A593" s="10" t="s">
        <v>1025</v>
      </c>
      <c r="C593" s="10" t="s">
        <v>1258</v>
      </c>
      <c r="D593" s="10" t="s">
        <v>38</v>
      </c>
      <c r="E593" s="10">
        <v>2413</v>
      </c>
      <c r="F593" s="11">
        <v>42478.699791666666</v>
      </c>
      <c r="G593" s="10" t="s">
        <v>38</v>
      </c>
      <c r="H593" s="12">
        <v>0</v>
      </c>
    </row>
    <row r="594" spans="1:8" x14ac:dyDescent="0.2">
      <c r="A594" t="s">
        <v>1025</v>
      </c>
      <c r="B594" t="s">
        <v>1348</v>
      </c>
      <c r="C594" t="s">
        <v>536</v>
      </c>
      <c r="D594" t="s">
        <v>38</v>
      </c>
      <c r="E594">
        <v>20115268</v>
      </c>
      <c r="F594" s="5">
        <v>42478.699791666666</v>
      </c>
      <c r="G594" t="s">
        <v>38</v>
      </c>
      <c r="H594" s="6">
        <v>45822</v>
      </c>
    </row>
    <row r="595" spans="1:8" s="10" customFormat="1" hidden="1" x14ac:dyDescent="0.2">
      <c r="A595" s="10" t="s">
        <v>1025</v>
      </c>
      <c r="C595" s="10" t="s">
        <v>1261</v>
      </c>
      <c r="D595" s="10" t="s">
        <v>38</v>
      </c>
      <c r="E595" s="10">
        <v>1950</v>
      </c>
      <c r="F595" s="11">
        <v>42478.699791666666</v>
      </c>
      <c r="G595" s="10" t="s">
        <v>38</v>
      </c>
      <c r="H595" s="12">
        <v>0</v>
      </c>
    </row>
    <row r="596" spans="1:8" s="10" customFormat="1" hidden="1" x14ac:dyDescent="0.2">
      <c r="A596" s="10" t="s">
        <v>1025</v>
      </c>
      <c r="C596" s="10" t="s">
        <v>1262</v>
      </c>
      <c r="D596" s="10" t="s">
        <v>38</v>
      </c>
      <c r="E596" s="10">
        <v>171228</v>
      </c>
      <c r="F596" s="11">
        <v>42478.699791666666</v>
      </c>
      <c r="G596" s="10" t="s">
        <v>38</v>
      </c>
      <c r="H596" s="12">
        <v>88</v>
      </c>
    </row>
    <row r="597" spans="1:8" x14ac:dyDescent="0.2">
      <c r="A597" t="s">
        <v>1025</v>
      </c>
      <c r="B597" t="s">
        <v>1359</v>
      </c>
      <c r="C597" t="s">
        <v>1238</v>
      </c>
      <c r="D597" t="s">
        <v>1239</v>
      </c>
      <c r="E597">
        <v>9193706</v>
      </c>
      <c r="F597" s="5">
        <v>42478.699791666666</v>
      </c>
      <c r="G597" t="s">
        <v>1239</v>
      </c>
      <c r="H597" s="6">
        <v>14344</v>
      </c>
    </row>
    <row r="598" spans="1:8" s="10" customFormat="1" hidden="1" x14ac:dyDescent="0.2">
      <c r="A598" s="10" t="s">
        <v>1025</v>
      </c>
      <c r="C598" s="10" t="s">
        <v>1265</v>
      </c>
      <c r="D598" s="10" t="s">
        <v>38</v>
      </c>
      <c r="E598" s="10">
        <v>230008</v>
      </c>
      <c r="F598" s="11">
        <v>42478.699791666666</v>
      </c>
      <c r="G598" s="10" t="s">
        <v>38</v>
      </c>
      <c r="H598" s="12">
        <v>147</v>
      </c>
    </row>
    <row r="599" spans="1:8" s="10" customFormat="1" hidden="1" x14ac:dyDescent="0.2">
      <c r="A599" s="10" t="s">
        <v>1025</v>
      </c>
      <c r="C599" s="10" t="s">
        <v>1266</v>
      </c>
      <c r="D599" s="10" t="s">
        <v>1267</v>
      </c>
      <c r="E599" s="10">
        <v>1451036</v>
      </c>
      <c r="F599" s="11">
        <v>42478.699791666666</v>
      </c>
      <c r="G599" s="10" t="s">
        <v>1267</v>
      </c>
      <c r="H599" s="12">
        <v>1273</v>
      </c>
    </row>
    <row r="600" spans="1:8" s="10" customFormat="1" hidden="1" x14ac:dyDescent="0.2">
      <c r="A600" s="10" t="s">
        <v>1025</v>
      </c>
      <c r="C600" s="10" t="s">
        <v>1268</v>
      </c>
      <c r="D600" s="10" t="s">
        <v>38</v>
      </c>
      <c r="E600" s="10">
        <v>4731</v>
      </c>
      <c r="F600" s="11">
        <v>42478.699791666666</v>
      </c>
      <c r="G600" s="10" t="s">
        <v>38</v>
      </c>
      <c r="H600" s="12">
        <v>0</v>
      </c>
    </row>
    <row r="601" spans="1:8" x14ac:dyDescent="0.2">
      <c r="A601" t="s">
        <v>1025</v>
      </c>
      <c r="B601" t="s">
        <v>1359</v>
      </c>
      <c r="C601" t="s">
        <v>1273</v>
      </c>
      <c r="D601" t="s">
        <v>1274</v>
      </c>
      <c r="E601">
        <v>11549356</v>
      </c>
      <c r="F601" s="5">
        <v>42478.699791666666</v>
      </c>
      <c r="G601" t="s">
        <v>1274</v>
      </c>
      <c r="H601" s="6">
        <v>34623</v>
      </c>
    </row>
    <row r="602" spans="1:8" x14ac:dyDescent="0.2">
      <c r="A602" t="s">
        <v>1025</v>
      </c>
      <c r="B602" t="s">
        <v>1359</v>
      </c>
      <c r="C602" t="s">
        <v>1276</v>
      </c>
      <c r="D602" t="s">
        <v>1277</v>
      </c>
      <c r="E602">
        <v>857286</v>
      </c>
      <c r="F602" s="5">
        <v>42478.699791666666</v>
      </c>
      <c r="G602" t="s">
        <v>1277</v>
      </c>
      <c r="H602" s="6">
        <v>-263557</v>
      </c>
    </row>
    <row r="603" spans="1:8" x14ac:dyDescent="0.2">
      <c r="A603" t="s">
        <v>1025</v>
      </c>
      <c r="B603" t="s">
        <v>1359</v>
      </c>
      <c r="C603" t="s">
        <v>1297</v>
      </c>
      <c r="D603" t="s">
        <v>38</v>
      </c>
      <c r="E603">
        <v>286000</v>
      </c>
      <c r="F603" s="5">
        <v>42478.699791666666</v>
      </c>
      <c r="G603" t="s">
        <v>38</v>
      </c>
      <c r="H603" s="6">
        <v>11182</v>
      </c>
    </row>
    <row r="604" spans="1:8" s="10" customFormat="1" hidden="1" x14ac:dyDescent="0.2">
      <c r="A604" s="10" t="s">
        <v>1025</v>
      </c>
      <c r="C604" s="10" t="s">
        <v>1275</v>
      </c>
      <c r="D604" s="10" t="s">
        <v>1274</v>
      </c>
      <c r="E604" s="10">
        <v>125102</v>
      </c>
      <c r="F604" s="11">
        <v>42478.699791666666</v>
      </c>
      <c r="G604" s="10" t="s">
        <v>1274</v>
      </c>
      <c r="H604" s="12">
        <v>0</v>
      </c>
    </row>
    <row r="605" spans="1:8" x14ac:dyDescent="0.2">
      <c r="A605" t="s">
        <v>1025</v>
      </c>
      <c r="B605" t="s">
        <v>1417</v>
      </c>
      <c r="C605" t="s">
        <v>1156</v>
      </c>
      <c r="D605" t="s">
        <v>1157</v>
      </c>
      <c r="E605">
        <v>295058</v>
      </c>
      <c r="F605" s="5">
        <v>42478.699791666666</v>
      </c>
      <c r="G605" t="s">
        <v>1157</v>
      </c>
      <c r="H605" s="6">
        <v>0</v>
      </c>
    </row>
    <row r="606" spans="1:8" x14ac:dyDescent="0.2">
      <c r="A606" t="s">
        <v>1025</v>
      </c>
      <c r="B606" t="s">
        <v>1417</v>
      </c>
      <c r="C606" t="s">
        <v>1158</v>
      </c>
      <c r="D606" t="s">
        <v>1159</v>
      </c>
      <c r="E606">
        <v>41</v>
      </c>
      <c r="F606" s="5">
        <v>42478.699791666666</v>
      </c>
      <c r="G606" t="s">
        <v>1159</v>
      </c>
      <c r="H606" s="6">
        <v>0</v>
      </c>
    </row>
    <row r="607" spans="1:8" s="10" customFormat="1" hidden="1" x14ac:dyDescent="0.2">
      <c r="A607" s="10" t="s">
        <v>1025</v>
      </c>
      <c r="C607" s="10" t="s">
        <v>1282</v>
      </c>
      <c r="D607" s="10" t="s">
        <v>38</v>
      </c>
      <c r="E607" s="10">
        <v>11228</v>
      </c>
      <c r="F607" s="11">
        <v>42527.623252314814</v>
      </c>
      <c r="G607" s="10" t="s">
        <v>38</v>
      </c>
      <c r="H607" s="12">
        <v>0</v>
      </c>
    </row>
    <row r="608" spans="1:8" x14ac:dyDescent="0.2">
      <c r="A608" t="s">
        <v>1025</v>
      </c>
      <c r="B608" t="s">
        <v>1417</v>
      </c>
      <c r="C608" t="s">
        <v>1269</v>
      </c>
      <c r="D608" t="s">
        <v>1270</v>
      </c>
      <c r="E608">
        <v>1471573</v>
      </c>
      <c r="F608" s="5">
        <v>42478.699791666666</v>
      </c>
      <c r="G608" t="s">
        <v>1270</v>
      </c>
      <c r="H608" s="6">
        <v>1478</v>
      </c>
    </row>
    <row r="609" spans="1:8" s="10" customFormat="1" hidden="1" x14ac:dyDescent="0.2">
      <c r="A609" s="10" t="s">
        <v>1025</v>
      </c>
      <c r="C609" s="10" t="s">
        <v>1285</v>
      </c>
      <c r="D609" s="10" t="s">
        <v>1284</v>
      </c>
      <c r="E609" s="10">
        <v>72885</v>
      </c>
      <c r="F609" s="11">
        <v>42478.699791666666</v>
      </c>
      <c r="G609" s="10" t="s">
        <v>1284</v>
      </c>
      <c r="H609" s="12">
        <v>0</v>
      </c>
    </row>
    <row r="610" spans="1:8" s="10" customFormat="1" hidden="1" x14ac:dyDescent="0.2">
      <c r="A610" s="10" t="s">
        <v>1025</v>
      </c>
      <c r="C610" s="10" t="s">
        <v>1286</v>
      </c>
      <c r="D610" s="10" t="s">
        <v>38</v>
      </c>
      <c r="E610" s="10">
        <v>2160779</v>
      </c>
      <c r="F610" s="11">
        <v>42478.699791666666</v>
      </c>
      <c r="G610" s="10" t="s">
        <v>38</v>
      </c>
      <c r="H610" s="12">
        <v>0</v>
      </c>
    </row>
    <row r="611" spans="1:8" x14ac:dyDescent="0.2">
      <c r="A611" t="s">
        <v>1025</v>
      </c>
      <c r="B611" t="s">
        <v>1417</v>
      </c>
      <c r="C611" t="s">
        <v>1271</v>
      </c>
      <c r="D611" t="s">
        <v>1272</v>
      </c>
      <c r="E611">
        <v>62911058</v>
      </c>
      <c r="F611" s="5">
        <v>42496.688240740739</v>
      </c>
      <c r="G611" t="s">
        <v>1272</v>
      </c>
      <c r="H611" s="6">
        <v>403292</v>
      </c>
    </row>
    <row r="612" spans="1:8" s="10" customFormat="1" hidden="1" x14ac:dyDescent="0.2">
      <c r="A612" s="10" t="s">
        <v>1025</v>
      </c>
      <c r="C612" s="10" t="s">
        <v>1290</v>
      </c>
      <c r="D612" s="10" t="s">
        <v>38</v>
      </c>
      <c r="E612" s="10">
        <v>3375</v>
      </c>
      <c r="F612" s="11">
        <v>42478.699791666666</v>
      </c>
      <c r="G612" s="10" t="s">
        <v>38</v>
      </c>
      <c r="H612" s="12">
        <v>0</v>
      </c>
    </row>
    <row r="613" spans="1:8" s="10" customFormat="1" hidden="1" x14ac:dyDescent="0.2">
      <c r="A613" s="10" t="s">
        <v>1025</v>
      </c>
      <c r="C613" s="10" t="s">
        <v>1291</v>
      </c>
      <c r="D613" s="10" t="s">
        <v>1292</v>
      </c>
      <c r="E613" s="10">
        <v>95684</v>
      </c>
      <c r="F613" s="11">
        <v>42478.699791666666</v>
      </c>
      <c r="G613" s="10" t="s">
        <v>1292</v>
      </c>
      <c r="H613" s="12">
        <v>0</v>
      </c>
    </row>
    <row r="614" spans="1:8" hidden="1" x14ac:dyDescent="0.2">
      <c r="A614" s="7" t="s">
        <v>1025</v>
      </c>
      <c r="B614" s="7"/>
      <c r="C614" s="7" t="s">
        <v>1293</v>
      </c>
      <c r="D614" s="7" t="s">
        <v>38</v>
      </c>
      <c r="E614" s="7">
        <v>8</v>
      </c>
      <c r="F614" s="8">
        <v>42478.699791666666</v>
      </c>
      <c r="G614" s="7" t="s">
        <v>38</v>
      </c>
      <c r="H614" s="9">
        <v>0</v>
      </c>
    </row>
    <row r="615" spans="1:8" x14ac:dyDescent="0.2">
      <c r="A615" t="s">
        <v>1025</v>
      </c>
      <c r="B615" t="s">
        <v>1350</v>
      </c>
      <c r="C615" t="s">
        <v>1242</v>
      </c>
      <c r="D615" t="s">
        <v>1243</v>
      </c>
      <c r="E615">
        <v>2590804</v>
      </c>
      <c r="F615" s="5">
        <v>42478.699791666666</v>
      </c>
      <c r="G615" t="s">
        <v>1243</v>
      </c>
      <c r="H615" s="6">
        <v>2339</v>
      </c>
    </row>
    <row r="616" spans="1:8" s="10" customFormat="1" hidden="1" x14ac:dyDescent="0.2">
      <c r="A616" s="10" t="s">
        <v>1025</v>
      </c>
      <c r="C616" s="10" t="s">
        <v>1296</v>
      </c>
      <c r="D616" s="10" t="s">
        <v>38</v>
      </c>
      <c r="E616" s="10">
        <v>216648</v>
      </c>
      <c r="F616" s="11">
        <v>42478.699791666666</v>
      </c>
      <c r="G616" s="10" t="s">
        <v>38</v>
      </c>
      <c r="H616" s="12">
        <v>0</v>
      </c>
    </row>
    <row r="617" spans="1:8" x14ac:dyDescent="0.2">
      <c r="A617" t="s">
        <v>1025</v>
      </c>
      <c r="B617" t="s">
        <v>1350</v>
      </c>
      <c r="C617" t="s">
        <v>1251</v>
      </c>
      <c r="D617" t="s">
        <v>38</v>
      </c>
      <c r="E617">
        <v>3003962</v>
      </c>
      <c r="F617" s="5">
        <v>42478.699791666666</v>
      </c>
      <c r="G617" t="s">
        <v>38</v>
      </c>
      <c r="H617" s="6">
        <v>2339</v>
      </c>
    </row>
    <row r="618" spans="1:8" s="10" customFormat="1" hidden="1" x14ac:dyDescent="0.2">
      <c r="A618" s="10" t="s">
        <v>1025</v>
      </c>
      <c r="C618" s="10" t="s">
        <v>1299</v>
      </c>
      <c r="D618" s="10" t="s">
        <v>38</v>
      </c>
      <c r="E618" s="10">
        <v>208</v>
      </c>
      <c r="F618" s="11">
        <v>42478.699791666666</v>
      </c>
      <c r="G618" s="10" t="s">
        <v>38</v>
      </c>
      <c r="H618" s="12">
        <v>0</v>
      </c>
    </row>
    <row r="619" spans="1:8" s="10" customFormat="1" hidden="1" x14ac:dyDescent="0.2">
      <c r="A619" s="10" t="s">
        <v>1025</v>
      </c>
      <c r="C619" s="10" t="s">
        <v>1300</v>
      </c>
      <c r="D619" s="10" t="s">
        <v>38</v>
      </c>
      <c r="E619" s="10">
        <v>660</v>
      </c>
      <c r="F619" s="11">
        <v>42478.699791666666</v>
      </c>
      <c r="G619" s="10" t="s">
        <v>38</v>
      </c>
      <c r="H619" s="12">
        <v>0</v>
      </c>
    </row>
    <row r="620" spans="1:8" s="10" customFormat="1" hidden="1" x14ac:dyDescent="0.2">
      <c r="A620" s="10" t="s">
        <v>1025</v>
      </c>
      <c r="C620" s="10" t="s">
        <v>1301</v>
      </c>
      <c r="D620" s="10" t="s">
        <v>38</v>
      </c>
      <c r="E620" s="10">
        <v>218</v>
      </c>
      <c r="F620" s="11">
        <v>42478.699791666666</v>
      </c>
      <c r="G620" s="10" t="s">
        <v>38</v>
      </c>
      <c r="H620" s="12">
        <v>0</v>
      </c>
    </row>
    <row r="621" spans="1:8" s="10" customFormat="1" hidden="1" x14ac:dyDescent="0.2">
      <c r="A621" s="10" t="s">
        <v>1025</v>
      </c>
      <c r="C621" s="10" t="s">
        <v>1302</v>
      </c>
      <c r="D621" s="10" t="s">
        <v>38</v>
      </c>
      <c r="E621" s="10">
        <v>1108</v>
      </c>
      <c r="F621" s="11">
        <v>42478.699791666666</v>
      </c>
      <c r="G621" s="10" t="s">
        <v>38</v>
      </c>
      <c r="H621" s="12">
        <v>0</v>
      </c>
    </row>
    <row r="622" spans="1:8" s="10" customFormat="1" hidden="1" x14ac:dyDescent="0.2">
      <c r="A622" s="10" t="s">
        <v>1025</v>
      </c>
      <c r="C622" s="10" t="s">
        <v>1303</v>
      </c>
      <c r="D622" s="10" t="s">
        <v>38</v>
      </c>
      <c r="E622" s="10">
        <v>495</v>
      </c>
      <c r="F622" s="11">
        <v>42478.699791666666</v>
      </c>
      <c r="G622" s="10" t="s">
        <v>38</v>
      </c>
      <c r="H622" s="12">
        <v>0</v>
      </c>
    </row>
    <row r="623" spans="1:8" s="10" customFormat="1" hidden="1" x14ac:dyDescent="0.2">
      <c r="A623" s="10" t="s">
        <v>1025</v>
      </c>
      <c r="C623" s="10" t="s">
        <v>1304</v>
      </c>
      <c r="D623" s="10" t="s">
        <v>38</v>
      </c>
      <c r="E623" s="10">
        <v>972</v>
      </c>
      <c r="F623" s="11">
        <v>42478.699791666666</v>
      </c>
      <c r="G623" s="10" t="s">
        <v>38</v>
      </c>
      <c r="H623" s="12">
        <v>0</v>
      </c>
    </row>
    <row r="624" spans="1:8" x14ac:dyDescent="0.2">
      <c r="A624" t="s">
        <v>1025</v>
      </c>
      <c r="B624" t="s">
        <v>1350</v>
      </c>
      <c r="C624" t="s">
        <v>1259</v>
      </c>
      <c r="D624" t="s">
        <v>1260</v>
      </c>
      <c r="E624">
        <v>2805200</v>
      </c>
      <c r="F624" s="5">
        <v>42478.699791666666</v>
      </c>
      <c r="G624" t="s">
        <v>1260</v>
      </c>
      <c r="H624" s="6">
        <v>2339</v>
      </c>
    </row>
    <row r="625" spans="1:8" x14ac:dyDescent="0.2">
      <c r="A625" t="s">
        <v>1025</v>
      </c>
      <c r="B625" t="s">
        <v>1419</v>
      </c>
      <c r="C625" t="s">
        <v>1247</v>
      </c>
      <c r="D625" t="s">
        <v>1248</v>
      </c>
      <c r="E625">
        <v>38169753</v>
      </c>
      <c r="F625" s="5">
        <v>42486.725127314814</v>
      </c>
      <c r="G625" t="s">
        <v>1248</v>
      </c>
      <c r="H625" s="6">
        <v>129302</v>
      </c>
    </row>
    <row r="626" spans="1:8" hidden="1" x14ac:dyDescent="0.2">
      <c r="A626" s="7" t="s">
        <v>1025</v>
      </c>
      <c r="B626" s="7"/>
      <c r="C626" s="7" t="s">
        <v>1307</v>
      </c>
      <c r="D626" s="7" t="s">
        <v>1308</v>
      </c>
      <c r="E626" s="7">
        <v>6</v>
      </c>
      <c r="F626" s="8">
        <v>42653.49496527778</v>
      </c>
      <c r="G626" s="7" t="s">
        <v>1308</v>
      </c>
      <c r="H626" s="9">
        <v>0</v>
      </c>
    </row>
    <row r="627" spans="1:8" s="10" customFormat="1" hidden="1" x14ac:dyDescent="0.2">
      <c r="A627" s="10" t="s">
        <v>1025</v>
      </c>
      <c r="C627" s="10" t="s">
        <v>1309</v>
      </c>
      <c r="D627" s="10" t="s">
        <v>1310</v>
      </c>
      <c r="E627" s="10">
        <v>1881625</v>
      </c>
      <c r="F627" s="11">
        <v>42478.699791666666</v>
      </c>
      <c r="G627" s="10" t="s">
        <v>1310</v>
      </c>
      <c r="H627" s="12">
        <v>1959</v>
      </c>
    </row>
    <row r="628" spans="1:8" s="10" customFormat="1" hidden="1" x14ac:dyDescent="0.2">
      <c r="A628" s="10" t="s">
        <v>1025</v>
      </c>
      <c r="C628" s="10" t="s">
        <v>1311</v>
      </c>
      <c r="D628" s="10" t="s">
        <v>1312</v>
      </c>
      <c r="E628" s="10">
        <v>5013095</v>
      </c>
      <c r="F628" s="11">
        <v>42478.699791666666</v>
      </c>
      <c r="G628" s="10" t="s">
        <v>1312</v>
      </c>
      <c r="H628" s="12">
        <v>10613</v>
      </c>
    </row>
    <row r="629" spans="1:8" x14ac:dyDescent="0.2">
      <c r="A629" t="s">
        <v>1025</v>
      </c>
      <c r="B629" t="s">
        <v>1423</v>
      </c>
      <c r="C629" t="s">
        <v>1278</v>
      </c>
      <c r="D629" t="s">
        <v>38</v>
      </c>
      <c r="E629">
        <v>49386</v>
      </c>
      <c r="F629" s="5">
        <v>42478.699791666666</v>
      </c>
      <c r="G629" t="s">
        <v>38</v>
      </c>
      <c r="H629" s="6">
        <v>0</v>
      </c>
    </row>
    <row r="630" spans="1:8" s="10" customFormat="1" hidden="1" x14ac:dyDescent="0.2">
      <c r="A630" s="10" t="s">
        <v>1025</v>
      </c>
      <c r="C630" s="10" t="s">
        <v>1314</v>
      </c>
      <c r="D630" s="10" t="s">
        <v>38</v>
      </c>
      <c r="E630" s="10">
        <v>1243626</v>
      </c>
      <c r="F630" s="11">
        <v>42478.699791666666</v>
      </c>
      <c r="G630" s="10" t="s">
        <v>38</v>
      </c>
      <c r="H630" s="12">
        <v>4540</v>
      </c>
    </row>
    <row r="631" spans="1:8" s="10" customFormat="1" hidden="1" x14ac:dyDescent="0.2">
      <c r="A631" s="10" t="s">
        <v>1025</v>
      </c>
      <c r="C631" s="10" t="s">
        <v>1315</v>
      </c>
      <c r="D631" s="10" t="s">
        <v>38</v>
      </c>
      <c r="E631" s="10">
        <v>1358809</v>
      </c>
      <c r="F631" s="11">
        <v>42549.45925925926</v>
      </c>
      <c r="G631" s="10" t="s">
        <v>38</v>
      </c>
      <c r="H631" s="12">
        <v>15074</v>
      </c>
    </row>
  </sheetData>
  <autoFilter ref="A1:H631">
    <filterColumn colId="2">
      <colorFilter dxfId="0"/>
    </filterColumn>
    <sortState ref="A442:H629">
      <sortCondition ref="B1:B63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tabSelected="1" workbookViewId="0">
      <pane xSplit="1" ySplit="2" topLeftCell="B18" activePane="bottomRight" state="frozen"/>
      <selection pane="topRight" activeCell="B1" sqref="B1"/>
      <selection pane="bottomLeft" activeCell="A3" sqref="A3"/>
      <selection pane="bottomRight" activeCell="G8" sqref="G8"/>
    </sheetView>
  </sheetViews>
  <sheetFormatPr defaultRowHeight="14.25" x14ac:dyDescent="0.2"/>
  <cols>
    <col min="1" max="1" width="17" customWidth="1"/>
    <col min="2" max="2" width="23" bestFit="1" customWidth="1"/>
    <col min="3" max="3" width="24.875" customWidth="1"/>
    <col min="4" max="4" width="21.875" customWidth="1"/>
    <col min="5" max="5" width="30.375" customWidth="1"/>
    <col min="6" max="6" width="23" bestFit="1" customWidth="1"/>
    <col min="7" max="7" width="30.125" customWidth="1"/>
    <col min="8" max="8" width="25" customWidth="1"/>
    <col min="9" max="9" width="19.875" bestFit="1" customWidth="1"/>
    <col min="10" max="10" width="27.25" bestFit="1" customWidth="1"/>
    <col min="11" max="11" width="28.125" bestFit="1" customWidth="1"/>
  </cols>
  <sheetData>
    <row r="1" spans="1:9" s="18" customFormat="1" ht="18" x14ac:dyDescent="0.35">
      <c r="A1" s="32" t="s">
        <v>1434</v>
      </c>
      <c r="B1" s="33"/>
      <c r="C1" s="32" t="s">
        <v>1435</v>
      </c>
      <c r="D1" s="33"/>
      <c r="E1" s="32" t="s">
        <v>1428</v>
      </c>
      <c r="F1" s="33"/>
      <c r="G1" s="34" t="s">
        <v>1434</v>
      </c>
      <c r="H1" s="35"/>
      <c r="I1" s="19"/>
    </row>
    <row r="2" spans="1:9" s="18" customFormat="1" ht="18" x14ac:dyDescent="0.35">
      <c r="A2" s="20" t="s">
        <v>1414</v>
      </c>
      <c r="B2" s="25" t="s">
        <v>1415</v>
      </c>
      <c r="C2" s="20" t="s">
        <v>1426</v>
      </c>
      <c r="D2" s="25" t="s">
        <v>1436</v>
      </c>
      <c r="E2" s="20" t="s">
        <v>1414</v>
      </c>
      <c r="F2" s="25" t="s">
        <v>1415</v>
      </c>
      <c r="G2" s="28" t="s">
        <v>1414</v>
      </c>
      <c r="H2" s="29" t="s">
        <v>1415</v>
      </c>
      <c r="I2" s="19"/>
    </row>
    <row r="3" spans="1:9" s="18" customFormat="1" ht="18" x14ac:dyDescent="0.35">
      <c r="A3" s="23" t="s">
        <v>1387</v>
      </c>
      <c r="B3" s="26"/>
      <c r="C3" s="23"/>
      <c r="D3" s="26"/>
      <c r="E3" s="23"/>
      <c r="F3" s="26"/>
      <c r="G3" s="30" t="s">
        <v>1386</v>
      </c>
      <c r="H3" s="27"/>
      <c r="I3" s="19"/>
    </row>
    <row r="4" spans="1:9" s="18" customFormat="1" ht="18" x14ac:dyDescent="0.35">
      <c r="A4" s="24" t="s">
        <v>83</v>
      </c>
      <c r="B4" s="26" t="str">
        <f>LEFT(IFERROR(VLOOKUP(A4,数据表!C:D,2,0),""),10)</f>
        <v>活动手机号表</v>
      </c>
      <c r="C4" s="24"/>
      <c r="D4" s="26" t="str">
        <f>LEFT(IFERROR(VLOOKUP(C4,数据表!C:D,2,0),""),10)</f>
        <v/>
      </c>
      <c r="E4" s="24"/>
      <c r="F4" s="26" t="str">
        <f>LEFT(IFERROR(VLOOKUP(E4,数据表!C:D,2,0),""),10)</f>
        <v/>
      </c>
      <c r="G4" s="31" t="s">
        <v>180</v>
      </c>
      <c r="H4" s="27" t="str">
        <f>LEFT(IFERROR(VLOOKUP(G4,数据表!C:D,2,0),""),10)</f>
        <v>美国学校信息表</v>
      </c>
      <c r="I4" s="19"/>
    </row>
    <row r="5" spans="1:9" s="18" customFormat="1" ht="18" x14ac:dyDescent="0.35">
      <c r="A5" s="24" t="s">
        <v>10</v>
      </c>
      <c r="B5" s="26" t="str">
        <f>LEFT(IFERROR(VLOOKUP(A5,数据表!C:D,2,0),""),10)</f>
        <v/>
      </c>
      <c r="C5" s="24"/>
      <c r="D5" s="26" t="str">
        <f>LEFT(IFERROR(VLOOKUP(C5,数据表!C:D,2,0),""),10)</f>
        <v/>
      </c>
      <c r="E5" s="24"/>
      <c r="F5" s="26" t="str">
        <f>LEFT(IFERROR(VLOOKUP(E5,数据表!C:D,2,0),""),10)</f>
        <v/>
      </c>
      <c r="G5" s="31" t="s">
        <v>323</v>
      </c>
      <c r="H5" s="27" t="str">
        <f>LEFT(IFERROR(VLOOKUP(G5,数据表!C:D,2,0),""),10)</f>
        <v>渠道表</v>
      </c>
      <c r="I5" s="19"/>
    </row>
    <row r="6" spans="1:9" s="18" customFormat="1" ht="18" x14ac:dyDescent="0.35">
      <c r="A6" s="24" t="s">
        <v>3</v>
      </c>
      <c r="B6" s="26" t="str">
        <f>LEFT(IFERROR(VLOOKUP(A6,数据表!C:D,2,0),""),10)</f>
        <v>短信发送日志表</v>
      </c>
      <c r="C6" s="24"/>
      <c r="D6" s="26" t="str">
        <f>LEFT(IFERROR(VLOOKUP(C6,数据表!C:D,2,0),""),10)</f>
        <v/>
      </c>
      <c r="E6" s="24"/>
      <c r="F6" s="26" t="str">
        <f>LEFT(IFERROR(VLOOKUP(E6,数据表!C:D,2,0),""),10)</f>
        <v/>
      </c>
      <c r="G6" s="31" t="s">
        <v>342</v>
      </c>
      <c r="H6" s="27" t="str">
        <f>LEFT(IFERROR(VLOOKUP(G6,数据表!C:D,2,0),""),10)</f>
        <v>区域身份证号码表</v>
      </c>
      <c r="I6" s="19"/>
    </row>
    <row r="7" spans="1:9" s="18" customFormat="1" ht="18" x14ac:dyDescent="0.35">
      <c r="A7" s="24" t="s">
        <v>679</v>
      </c>
      <c r="B7" s="26" t="str">
        <f>LEFT(IFERROR(VLOOKUP(A7,数据表!C:D,2,0),""),10)</f>
        <v>语音校验日志</v>
      </c>
      <c r="C7" s="24"/>
      <c r="D7" s="26" t="str">
        <f>LEFT(IFERROR(VLOOKUP(C7,数据表!C:D,2,0),""),10)</f>
        <v/>
      </c>
      <c r="E7" s="24"/>
      <c r="F7" s="26" t="str">
        <f>LEFT(IFERROR(VLOOKUP(E7,数据表!C:D,2,0),""),10)</f>
        <v/>
      </c>
      <c r="G7" s="31" t="s">
        <v>606</v>
      </c>
      <c r="H7" s="27" t="str">
        <f>LEFT(IFERROR(VLOOKUP(G7,数据表!C:D,2,0),""),10)</f>
        <v>行政区划</v>
      </c>
      <c r="I7" s="19"/>
    </row>
    <row r="8" spans="1:9" s="18" customFormat="1" ht="18" x14ac:dyDescent="0.35">
      <c r="A8" s="24"/>
      <c r="B8" s="26" t="str">
        <f>LEFT(IFERROR(VLOOKUP(A8,数据表!C:D,2,0),""),10)</f>
        <v/>
      </c>
      <c r="C8" s="24"/>
      <c r="D8" s="26" t="str">
        <f>LEFT(IFERROR(VLOOKUP(C8,数据表!C:D,2,0),""),10)</f>
        <v/>
      </c>
      <c r="E8" s="24"/>
      <c r="F8" s="26" t="str">
        <f>LEFT(IFERROR(VLOOKUP(E8,数据表!C:D,2,0),""),10)</f>
        <v/>
      </c>
      <c r="G8" s="31" t="s">
        <v>643</v>
      </c>
      <c r="H8" s="27" t="str">
        <f>LEFT(IFERROR(VLOOKUP(G8,数据表!C:D,2,0),""),10)</f>
        <v>学校信息表</v>
      </c>
      <c r="I8" s="19"/>
    </row>
    <row r="9" spans="1:9" s="18" customFormat="1" ht="18" x14ac:dyDescent="0.35">
      <c r="A9" s="23" t="s">
        <v>1411</v>
      </c>
      <c r="B9" s="26" t="str">
        <f>LEFT(IFERROR(VLOOKUP(A9,数据表!C:D,2,0),""),10)</f>
        <v/>
      </c>
      <c r="C9" s="23"/>
      <c r="D9" s="26" t="str">
        <f>LEFT(IFERROR(VLOOKUP(C9,数据表!C:D,2,0),""),10)</f>
        <v/>
      </c>
      <c r="E9" s="23"/>
      <c r="F9" s="26" t="str">
        <f>LEFT(IFERROR(VLOOKUP(E9,数据表!C:D,2,0),""),10)</f>
        <v/>
      </c>
      <c r="G9" s="31" t="s">
        <v>221</v>
      </c>
      <c r="H9" s="27" t="str">
        <f>LEFT(IFERROR(VLOOKUP(G9,数据表!C:D,2,0),""),10)</f>
        <v>银行信息表(原表名b</v>
      </c>
      <c r="I9" s="19"/>
    </row>
    <row r="10" spans="1:9" s="18" customFormat="1" ht="18" x14ac:dyDescent="0.35">
      <c r="A10" s="24" t="s">
        <v>23</v>
      </c>
      <c r="B10" s="26" t="str">
        <f>LEFT(IFERROR(VLOOKUP(A10,数据表!C:D,2,0),""),10)</f>
        <v>用户基本信息</v>
      </c>
      <c r="C10" s="24" t="s">
        <v>1242</v>
      </c>
      <c r="D10" s="26" t="str">
        <f>LEFT(IFERROR(VLOOKUP(C10,数据表!C:D,2,0),""),10)</f>
        <v>会员信息表</v>
      </c>
      <c r="E10" s="24" t="s">
        <v>936</v>
      </c>
      <c r="F10" s="26" t="str">
        <f>LEFT(IFERROR(VLOOKUP(E10,数据表!C:D,2,0),""),10)</f>
        <v>借款用户基本信息表</v>
      </c>
      <c r="G10" s="31" t="s">
        <v>145</v>
      </c>
      <c r="H10" s="27" t="str">
        <f>LEFT(IFERROR(VLOOKUP(G10,数据表!C:D,2,0),""),10)</f>
        <v>管理员表</v>
      </c>
      <c r="I10" s="19"/>
    </row>
    <row r="11" spans="1:9" s="18" customFormat="1" ht="18" x14ac:dyDescent="0.35">
      <c r="A11" s="24" t="s">
        <v>25</v>
      </c>
      <c r="B11" s="26" t="str">
        <f>LEFT(IFERROR(VLOOKUP(A11,数据表!C:D,2,0),""),10)</f>
        <v>用户详细信息</v>
      </c>
      <c r="C11" s="24" t="s">
        <v>1259</v>
      </c>
      <c r="D11" s="26" t="str">
        <f>LEFT(IFERROR(VLOOKUP(C11,数据表!C:D,2,0),""),10)</f>
        <v>用户明细信息表</v>
      </c>
      <c r="E11" s="24" t="s">
        <v>942</v>
      </c>
      <c r="F11" s="26" t="str">
        <f>LEFT(IFERROR(VLOOKUP(E11,数据表!C:D,2,0),""),10)</f>
        <v>用户详情表</v>
      </c>
      <c r="G11" s="31"/>
      <c r="H11" s="27" t="str">
        <f>LEFT(IFERROR(VLOOKUP(G11,数据表!C:D,2,0),""),10)</f>
        <v/>
      </c>
      <c r="I11" s="19"/>
    </row>
    <row r="12" spans="1:9" s="18" customFormat="1" ht="18" x14ac:dyDescent="0.35">
      <c r="A12" s="24" t="s">
        <v>710</v>
      </c>
      <c r="B12" s="26" t="str">
        <f>LEFT(IFERROR(VLOOKUP(A12,数据表!C:D,2,0),""),10)</f>
        <v>用户渠道信息表</v>
      </c>
      <c r="C12" s="24" t="s">
        <v>1251</v>
      </c>
      <c r="D12" s="26" t="str">
        <f>LEFT(IFERROR(VLOOKUP(C12,数据表!C:D,2,0),""),10)</f>
        <v/>
      </c>
      <c r="E12" s="24"/>
      <c r="F12" s="26" t="str">
        <f>LEFT(IFERROR(VLOOKUP(E12,数据表!C:D,2,0),""),10)</f>
        <v/>
      </c>
      <c r="G12" s="31"/>
      <c r="H12" s="27" t="str">
        <f>LEFT(IFERROR(VLOOKUP(G12,数据表!C:D,2,0),""),10)</f>
        <v/>
      </c>
      <c r="I12" s="19"/>
    </row>
    <row r="13" spans="1:9" s="18" customFormat="1" ht="18" x14ac:dyDescent="0.35">
      <c r="A13" s="24" t="s">
        <v>837</v>
      </c>
      <c r="B13" s="26" t="str">
        <f>LEFT(IFERROR(VLOOKUP(A13,数据表!C:D,2,0),""),10)</f>
        <v>学生信息</v>
      </c>
      <c r="C13" s="24" t="s">
        <v>1278</v>
      </c>
      <c r="D13" s="26" t="str">
        <f>LEFT(IFERROR(VLOOKUP(C13,数据表!C:D,2,0),""),10)</f>
        <v/>
      </c>
      <c r="E13" s="24"/>
      <c r="F13" s="26" t="str">
        <f>LEFT(IFERROR(VLOOKUP(E13,数据表!C:D,2,0),""),10)</f>
        <v/>
      </c>
      <c r="G13" s="31"/>
      <c r="H13" s="27" t="str">
        <f>LEFT(IFERROR(VLOOKUP(G13,数据表!C:D,2,0),""),10)</f>
        <v/>
      </c>
      <c r="I13" s="19"/>
    </row>
    <row r="14" spans="1:9" s="18" customFormat="1" ht="18" x14ac:dyDescent="0.35">
      <c r="A14" s="24" t="s">
        <v>788</v>
      </c>
      <c r="B14" s="26" t="str">
        <f>LEFT(IFERROR(VLOOKUP(A14,数据表!C:D,2,0),""),10)</f>
        <v>会员等级表</v>
      </c>
      <c r="C14" s="24"/>
      <c r="D14" s="26" t="str">
        <f>LEFT(IFERROR(VLOOKUP(C14,数据表!C:D,2,0),""),10)</f>
        <v/>
      </c>
      <c r="E14" s="24"/>
      <c r="F14" s="26" t="str">
        <f>LEFT(IFERROR(VLOOKUP(E14,数据表!C:D,2,0),""),10)</f>
        <v/>
      </c>
      <c r="G14" s="31"/>
      <c r="H14" s="27" t="str">
        <f>LEFT(IFERROR(VLOOKUP(G14,数据表!C:D,2,0),""),10)</f>
        <v/>
      </c>
      <c r="I14" s="19"/>
    </row>
    <row r="15" spans="1:9" s="18" customFormat="1" ht="18" x14ac:dyDescent="0.35">
      <c r="A15" s="24" t="s">
        <v>835</v>
      </c>
      <c r="B15" s="26" t="str">
        <f>LEFT(IFERROR(VLOOKUP(A15,数据表!C:D,2,0),""),10)</f>
        <v>用户配偶信息</v>
      </c>
      <c r="C15" s="24"/>
      <c r="D15" s="26" t="str">
        <f>LEFT(IFERROR(VLOOKUP(C15,数据表!C:D,2,0),""),10)</f>
        <v/>
      </c>
      <c r="E15" s="24"/>
      <c r="F15" s="26" t="str">
        <f>LEFT(IFERROR(VLOOKUP(E15,数据表!C:D,2,0),""),10)</f>
        <v/>
      </c>
      <c r="G15" s="31"/>
      <c r="H15" s="27" t="str">
        <f>LEFT(IFERROR(VLOOKUP(G15,数据表!C:D,2,0),""),10)</f>
        <v/>
      </c>
      <c r="I15" s="19"/>
    </row>
    <row r="16" spans="1:9" s="18" customFormat="1" ht="18" x14ac:dyDescent="0.35">
      <c r="A16" s="24" t="s">
        <v>850</v>
      </c>
      <c r="B16" s="26" t="str">
        <f>LEFT(IFERROR(VLOOKUP(A16,数据表!C:D,2,0),""),10)</f>
        <v>用户工作信息</v>
      </c>
      <c r="C16" s="24"/>
      <c r="D16" s="26" t="str">
        <f>LEFT(IFERROR(VLOOKUP(C16,数据表!C:D,2,0),""),10)</f>
        <v/>
      </c>
      <c r="E16" s="24"/>
      <c r="F16" s="26" t="str">
        <f>LEFT(IFERROR(VLOOKUP(E16,数据表!C:D,2,0),""),10)</f>
        <v/>
      </c>
      <c r="G16" s="31"/>
      <c r="H16" s="27" t="str">
        <f>LEFT(IFERROR(VLOOKUP(G16,数据表!C:D,2,0),""),10)</f>
        <v/>
      </c>
      <c r="I16" s="19"/>
    </row>
    <row r="17" spans="1:9" s="18" customFormat="1" ht="18" x14ac:dyDescent="0.35">
      <c r="A17" s="24" t="s">
        <v>527</v>
      </c>
      <c r="B17" s="26" t="str">
        <f>LEFT(IFERROR(VLOOKUP(A17,数据表!C:D,2,0),""),10)</f>
        <v/>
      </c>
      <c r="C17" s="24"/>
      <c r="D17" s="26" t="str">
        <f>LEFT(IFERROR(VLOOKUP(C17,数据表!C:D,2,0),""),10)</f>
        <v/>
      </c>
      <c r="E17" s="24"/>
      <c r="F17" s="26" t="str">
        <f>LEFT(IFERROR(VLOOKUP(E17,数据表!C:D,2,0),""),10)</f>
        <v/>
      </c>
      <c r="G17" s="31"/>
      <c r="H17" s="27" t="str">
        <f>LEFT(IFERROR(VLOOKUP(G17,数据表!C:D,2,0),""),10)</f>
        <v/>
      </c>
      <c r="I17" s="19"/>
    </row>
    <row r="18" spans="1:9" s="18" customFormat="1" ht="18" x14ac:dyDescent="0.35">
      <c r="A18" s="24" t="s">
        <v>727</v>
      </c>
      <c r="B18" s="26" t="str">
        <f>LEFT(IFERROR(VLOOKUP(A18,数据表!C:D,2,0),""),10)</f>
        <v>用户公司信息表</v>
      </c>
      <c r="C18" s="24"/>
      <c r="D18" s="26" t="str">
        <f>LEFT(IFERROR(VLOOKUP(C18,数据表!C:D,2,0),""),10)</f>
        <v/>
      </c>
      <c r="E18" s="24"/>
      <c r="F18" s="26" t="str">
        <f>LEFT(IFERROR(VLOOKUP(E18,数据表!C:D,2,0),""),10)</f>
        <v/>
      </c>
      <c r="G18" s="31"/>
      <c r="H18" s="27" t="str">
        <f>LEFT(IFERROR(VLOOKUP(G18,数据表!C:D,2,0),""),10)</f>
        <v/>
      </c>
      <c r="I18" s="19"/>
    </row>
    <row r="19" spans="1:9" s="18" customFormat="1" ht="18" x14ac:dyDescent="0.35">
      <c r="A19" s="24" t="s">
        <v>58</v>
      </c>
      <c r="B19" s="26" t="str">
        <f>LEFT(IFERROR(VLOOKUP(A19,数据表!C:D,2,0),""),10)</f>
        <v/>
      </c>
      <c r="C19" s="24"/>
      <c r="D19" s="26" t="str">
        <f>LEFT(IFERROR(VLOOKUP(C19,数据表!C:D,2,0),""),10)</f>
        <v/>
      </c>
      <c r="E19" s="24"/>
      <c r="F19" s="26" t="str">
        <f>LEFT(IFERROR(VLOOKUP(E19,数据表!C:D,2,0),""),10)</f>
        <v/>
      </c>
      <c r="G19" s="31"/>
      <c r="H19" s="27" t="str">
        <f>LEFT(IFERROR(VLOOKUP(G19,数据表!C:D,2,0),""),10)</f>
        <v/>
      </c>
      <c r="I19" s="19"/>
    </row>
    <row r="20" spans="1:9" s="18" customFormat="1" ht="18" x14ac:dyDescent="0.35">
      <c r="A20" s="24"/>
      <c r="B20" s="26" t="str">
        <f>LEFT(IFERROR(VLOOKUP(A20,数据表!C:D,2,0),""),10)</f>
        <v/>
      </c>
      <c r="C20" s="24"/>
      <c r="D20" s="26" t="str">
        <f>LEFT(IFERROR(VLOOKUP(C20,数据表!C:D,2,0),""),10)</f>
        <v/>
      </c>
      <c r="E20" s="24"/>
      <c r="F20" s="26" t="str">
        <f>LEFT(IFERROR(VLOOKUP(E20,数据表!C:D,2,0),""),10)</f>
        <v/>
      </c>
      <c r="G20" s="31"/>
      <c r="H20" s="27" t="str">
        <f>LEFT(IFERROR(VLOOKUP(G20,数据表!C:D,2,0),""),10)</f>
        <v/>
      </c>
      <c r="I20" s="19"/>
    </row>
    <row r="21" spans="1:9" s="18" customFormat="1" ht="18" x14ac:dyDescent="0.35">
      <c r="A21" s="23" t="s">
        <v>1337</v>
      </c>
      <c r="B21" s="26" t="str">
        <f>LEFT(IFERROR(VLOOKUP(A21,数据表!C:D,2,0),""),10)</f>
        <v/>
      </c>
      <c r="C21" s="23"/>
      <c r="D21" s="26" t="str">
        <f>LEFT(IFERROR(VLOOKUP(C21,数据表!C:D,2,0),""),10)</f>
        <v/>
      </c>
      <c r="E21" s="23"/>
      <c r="F21" s="26" t="str">
        <f>LEFT(IFERROR(VLOOKUP(E21,数据表!C:D,2,0),""),10)</f>
        <v/>
      </c>
      <c r="G21" s="31"/>
      <c r="H21" s="27" t="str">
        <f>LEFT(IFERROR(VLOOKUP(G21,数据表!C:D,2,0),""),10)</f>
        <v/>
      </c>
      <c r="I21" s="19"/>
    </row>
    <row r="22" spans="1:9" s="18" customFormat="1" ht="18" x14ac:dyDescent="0.35">
      <c r="A22" s="24" t="s">
        <v>540</v>
      </c>
      <c r="B22" s="26" t="str">
        <f>LEFT(IFERROR(VLOOKUP(A22,数据表!C:D,2,0),""),10)</f>
        <v>鹏元认证日志表</v>
      </c>
      <c r="C22" s="24" t="s">
        <v>1057</v>
      </c>
      <c r="D22" s="26" t="str">
        <f>LEFT(IFERROR(VLOOKUP(C22,数据表!C:D,2,0),""),10)</f>
        <v>调用第三方认证日志记</v>
      </c>
      <c r="E22" s="24"/>
      <c r="F22" s="26" t="str">
        <f>LEFT(IFERROR(VLOOKUP(E22,数据表!C:D,2,0),""),10)</f>
        <v/>
      </c>
      <c r="G22" s="31"/>
      <c r="H22" s="27" t="str">
        <f>LEFT(IFERROR(VLOOKUP(G22,数据表!C:D,2,0),""),10)</f>
        <v/>
      </c>
      <c r="I22" s="19"/>
    </row>
    <row r="23" spans="1:9" s="18" customFormat="1" ht="18" x14ac:dyDescent="0.35">
      <c r="A23" s="24" t="s">
        <v>716</v>
      </c>
      <c r="B23" s="26" t="str">
        <f>LEFT(IFERROR(VLOOKUP(A23,数据表!C:D,2,0),""),10)</f>
        <v>银行卡鉴权信息表</v>
      </c>
      <c r="C23" s="24" t="s">
        <v>1254</v>
      </c>
      <c r="D23" s="26" t="str">
        <f>LEFT(IFERROR(VLOOKUP(C23,数据表!C:D,2,0),""),10)</f>
        <v>绑定银行卡信息</v>
      </c>
      <c r="E23" s="24"/>
      <c r="F23" s="26" t="str">
        <f>LEFT(IFERROR(VLOOKUP(E23,数据表!C:D,2,0),""),10)</f>
        <v/>
      </c>
      <c r="G23" s="31"/>
      <c r="H23" s="27" t="str">
        <f>LEFT(IFERROR(VLOOKUP(G23,数据表!C:D,2,0),""),10)</f>
        <v/>
      </c>
      <c r="I23" s="19"/>
    </row>
    <row r="24" spans="1:9" s="18" customFormat="1" ht="18" x14ac:dyDescent="0.35">
      <c r="A24" s="24" t="s">
        <v>718</v>
      </c>
      <c r="B24" s="26" t="str">
        <f>LEFT(IFERROR(VLOOKUP(A24,数据表!C:D,2,0),""),10)</f>
        <v>银行卡信息表，原表名</v>
      </c>
      <c r="C24" s="24"/>
      <c r="D24" s="26" t="str">
        <f>LEFT(IFERROR(VLOOKUP(C24,数据表!C:D,2,0),""),10)</f>
        <v/>
      </c>
      <c r="E24" s="24"/>
      <c r="F24" s="26" t="str">
        <f>LEFT(IFERROR(VLOOKUP(E24,数据表!C:D,2,0),""),10)</f>
        <v/>
      </c>
      <c r="G24" s="31"/>
      <c r="H24" s="27" t="str">
        <f>LEFT(IFERROR(VLOOKUP(G24,数据表!C:D,2,0),""),10)</f>
        <v/>
      </c>
      <c r="I24" s="19"/>
    </row>
    <row r="25" spans="1:9" s="18" customFormat="1" ht="18" x14ac:dyDescent="0.35">
      <c r="A25" s="24" t="s">
        <v>532</v>
      </c>
      <c r="B25" s="26" t="str">
        <f>LEFT(IFERROR(VLOOKUP(A25,数据表!C:D,2,0),""),10)</f>
        <v>学生学籍认证历史信息</v>
      </c>
      <c r="C25" s="24"/>
      <c r="D25" s="26" t="str">
        <f>LEFT(IFERROR(VLOOKUP(C25,数据表!C:D,2,0),""),10)</f>
        <v/>
      </c>
      <c r="E25" s="24"/>
      <c r="F25" s="26" t="str">
        <f>LEFT(IFERROR(VLOOKUP(E25,数据表!C:D,2,0),""),10)</f>
        <v/>
      </c>
      <c r="G25" s="31"/>
      <c r="H25" s="27" t="str">
        <f>LEFT(IFERROR(VLOOKUP(G25,数据表!C:D,2,0),""),10)</f>
        <v/>
      </c>
      <c r="I25" s="19"/>
    </row>
    <row r="26" spans="1:9" s="18" customFormat="1" ht="18" x14ac:dyDescent="0.35">
      <c r="A26" s="24" t="s">
        <v>529</v>
      </c>
      <c r="B26" s="26" t="str">
        <f>LEFT(IFERROR(VLOOKUP(A26,数据表!C:D,2,0),""),10)</f>
        <v>nono认证库表</v>
      </c>
      <c r="C26" s="24"/>
      <c r="D26" s="26" t="str">
        <f>LEFT(IFERROR(VLOOKUP(C26,数据表!C:D,2,0),""),10)</f>
        <v/>
      </c>
      <c r="E26" s="24"/>
      <c r="F26" s="26" t="str">
        <f>LEFT(IFERROR(VLOOKUP(E26,数据表!C:D,2,0),""),10)</f>
        <v/>
      </c>
      <c r="G26" s="31"/>
      <c r="H26" s="27" t="str">
        <f>LEFT(IFERROR(VLOOKUP(G26,数据表!C:D,2,0),""),10)</f>
        <v/>
      </c>
      <c r="I26" s="19"/>
    </row>
    <row r="27" spans="1:9" s="18" customFormat="1" ht="18" x14ac:dyDescent="0.35">
      <c r="A27" s="24" t="s">
        <v>204</v>
      </c>
      <c r="B27" s="26" t="str">
        <f>LEFT(IFERROR(VLOOKUP(A27,数据表!C:D,2,0),""),10)</f>
        <v>活体识别日志表(原表</v>
      </c>
      <c r="C27" s="24"/>
      <c r="D27" s="26" t="str">
        <f>LEFT(IFERROR(VLOOKUP(C27,数据表!C:D,2,0),""),10)</f>
        <v/>
      </c>
      <c r="E27" s="24"/>
      <c r="F27" s="26" t="str">
        <f>LEFT(IFERROR(VLOOKUP(E27,数据表!C:D,2,0),""),10)</f>
        <v/>
      </c>
      <c r="G27" s="31"/>
      <c r="H27" s="27" t="str">
        <f>LEFT(IFERROR(VLOOKUP(G27,数据表!C:D,2,0),""),10)</f>
        <v/>
      </c>
      <c r="I27" s="19"/>
    </row>
    <row r="28" spans="1:9" s="18" customFormat="1" ht="18" x14ac:dyDescent="0.35">
      <c r="A28" s="24" t="s">
        <v>256</v>
      </c>
      <c r="B28" s="26" t="str">
        <f>LEFT(IFERROR(VLOOKUP(A28,数据表!C:D,2,0),""),10)</f>
        <v>认证表</v>
      </c>
      <c r="C28" s="24"/>
      <c r="D28" s="26" t="str">
        <f>LEFT(IFERROR(VLOOKUP(C28,数据表!C:D,2,0),""),10)</f>
        <v/>
      </c>
      <c r="E28" s="24"/>
      <c r="F28" s="26" t="str">
        <f>LEFT(IFERROR(VLOOKUP(E28,数据表!C:D,2,0),""),10)</f>
        <v/>
      </c>
      <c r="G28" s="31"/>
      <c r="H28" s="27" t="str">
        <f>LEFT(IFERROR(VLOOKUP(G28,数据表!C:D,2,0),""),10)</f>
        <v/>
      </c>
      <c r="I28" s="19"/>
    </row>
    <row r="29" spans="1:9" s="18" customFormat="1" ht="18" x14ac:dyDescent="0.35">
      <c r="A29" s="24" t="s">
        <v>522</v>
      </c>
      <c r="B29" s="26" t="str">
        <f>LEFT(IFERROR(VLOOKUP(A29,数据表!C:D,2,0),""),10)</f>
        <v>名校贷评分信息表</v>
      </c>
      <c r="C29" s="24"/>
      <c r="D29" s="26" t="str">
        <f>LEFT(IFERROR(VLOOKUP(C29,数据表!C:D,2,0),""),10)</f>
        <v/>
      </c>
      <c r="E29" s="24"/>
      <c r="F29" s="26" t="str">
        <f>LEFT(IFERROR(VLOOKUP(E29,数据表!C:D,2,0),""),10)</f>
        <v/>
      </c>
      <c r="G29" s="31"/>
      <c r="H29" s="27" t="str">
        <f>LEFT(IFERROR(VLOOKUP(G29,数据表!C:D,2,0),""),10)</f>
        <v/>
      </c>
      <c r="I29" s="19"/>
    </row>
    <row r="30" spans="1:9" s="18" customFormat="1" ht="18" x14ac:dyDescent="0.35">
      <c r="A30" s="24" t="s">
        <v>613</v>
      </c>
      <c r="B30" s="26" t="str">
        <f>LEFT(IFERROR(VLOOKUP(A30,数据表!C:D,2,0),""),10)</f>
        <v>芝麻信用表，存放所有</v>
      </c>
      <c r="C30" s="24"/>
      <c r="D30" s="26" t="str">
        <f>LEFT(IFERROR(VLOOKUP(C30,数据表!C:D,2,0),""),10)</f>
        <v/>
      </c>
      <c r="E30" s="24" t="s">
        <v>946</v>
      </c>
      <c r="F30" s="26" t="str">
        <f>LEFT(IFERROR(VLOOKUP(E30,数据表!C:D,2,0),""),10)</f>
        <v>用户信用表</v>
      </c>
      <c r="G30" s="31"/>
      <c r="H30" s="27" t="str">
        <f>LEFT(IFERROR(VLOOKUP(G30,数据表!C:D,2,0),""),10)</f>
        <v/>
      </c>
      <c r="I30" s="19"/>
    </row>
    <row r="31" spans="1:9" s="18" customFormat="1" ht="18" x14ac:dyDescent="0.35">
      <c r="A31" s="24" t="s">
        <v>776</v>
      </c>
      <c r="B31" s="26" t="str">
        <f>LEFT(IFERROR(VLOOKUP(A31,数据表!C:D,2,0),""),10)</f>
        <v>用户活体识别信息表</v>
      </c>
      <c r="C31" s="24"/>
      <c r="D31" s="26" t="str">
        <f>LEFT(IFERROR(VLOOKUP(C31,数据表!C:D,2,0),""),10)</f>
        <v/>
      </c>
      <c r="E31" s="24"/>
      <c r="F31" s="26" t="str">
        <f>LEFT(IFERROR(VLOOKUP(E31,数据表!C:D,2,0),""),10)</f>
        <v/>
      </c>
      <c r="G31" s="31"/>
      <c r="H31" s="27" t="str">
        <f>LEFT(IFERROR(VLOOKUP(G31,数据表!C:D,2,0),""),10)</f>
        <v/>
      </c>
      <c r="I31" s="19"/>
    </row>
    <row r="32" spans="1:9" s="18" customFormat="1" ht="18" x14ac:dyDescent="0.35">
      <c r="A32" s="24" t="s">
        <v>739</v>
      </c>
      <c r="B32" s="26" t="str">
        <f>LEFT(IFERROR(VLOOKUP(A32,数据表!C:D,2,0),""),10)</f>
        <v>用户征信相关信息</v>
      </c>
      <c r="C32" s="24"/>
      <c r="D32" s="26" t="str">
        <f>LEFT(IFERROR(VLOOKUP(C32,数据表!C:D,2,0),""),10)</f>
        <v/>
      </c>
      <c r="E32" s="24"/>
      <c r="F32" s="26" t="str">
        <f>LEFT(IFERROR(VLOOKUP(E32,数据表!C:D,2,0),""),10)</f>
        <v/>
      </c>
      <c r="G32" s="31"/>
      <c r="H32" s="27" t="str">
        <f>LEFT(IFERROR(VLOOKUP(G32,数据表!C:D,2,0),""),10)</f>
        <v/>
      </c>
      <c r="I32" s="19"/>
    </row>
    <row r="33" spans="1:9" s="18" customFormat="1" ht="18" x14ac:dyDescent="0.35">
      <c r="A33" s="24" t="s">
        <v>741</v>
      </c>
      <c r="B33" s="26" t="str">
        <f>LEFT(IFERROR(VLOOKUP(A33,数据表!C:D,2,0),""),10)</f>
        <v>用户信用证书申请</v>
      </c>
      <c r="C33" s="24"/>
      <c r="D33" s="26" t="str">
        <f>LEFT(IFERROR(VLOOKUP(C33,数据表!C:D,2,0),""),10)</f>
        <v/>
      </c>
      <c r="E33" s="24"/>
      <c r="F33" s="26" t="str">
        <f>LEFT(IFERROR(VLOOKUP(E33,数据表!C:D,2,0),""),10)</f>
        <v/>
      </c>
      <c r="G33" s="31"/>
      <c r="H33" s="27" t="str">
        <f>LEFT(IFERROR(VLOOKUP(G33,数据表!C:D,2,0),""),10)</f>
        <v/>
      </c>
      <c r="I33" s="19"/>
    </row>
    <row r="34" spans="1:9" s="18" customFormat="1" ht="18" x14ac:dyDescent="0.35">
      <c r="A34" s="24" t="s">
        <v>414</v>
      </c>
      <c r="B34" s="26" t="str">
        <f>LEFT(IFERROR(VLOOKUP(A34,数据表!C:D,2,0),""),10)</f>
        <v>脸部识别，比较结果</v>
      </c>
      <c r="C34" s="24"/>
      <c r="D34" s="26" t="str">
        <f>LEFT(IFERROR(VLOOKUP(C34,数据表!C:D,2,0),""),10)</f>
        <v/>
      </c>
      <c r="E34" s="24"/>
      <c r="F34" s="26" t="str">
        <f>LEFT(IFERROR(VLOOKUP(E34,数据表!C:D,2,0),""),10)</f>
        <v/>
      </c>
      <c r="G34" s="31"/>
      <c r="H34" s="27" t="str">
        <f>LEFT(IFERROR(VLOOKUP(G34,数据表!C:D,2,0),""),10)</f>
        <v/>
      </c>
      <c r="I34" s="19"/>
    </row>
    <row r="35" spans="1:9" s="18" customFormat="1" ht="18" x14ac:dyDescent="0.35">
      <c r="A35" s="24" t="s">
        <v>356</v>
      </c>
      <c r="B35" s="26" t="str">
        <f>LEFT(IFERROR(VLOOKUP(A35,数据表!C:D,2,0),""),10)</f>
        <v>用户活体识别信息产品</v>
      </c>
      <c r="C35" s="24"/>
      <c r="D35" s="26" t="str">
        <f>LEFT(IFERROR(VLOOKUP(C35,数据表!C:D,2,0),""),10)</f>
        <v/>
      </c>
      <c r="E35" s="24"/>
      <c r="F35" s="26" t="str">
        <f>LEFT(IFERROR(VLOOKUP(E35,数据表!C:D,2,0),""),10)</f>
        <v/>
      </c>
      <c r="G35" s="31"/>
      <c r="H35" s="27" t="str">
        <f>LEFT(IFERROR(VLOOKUP(G35,数据表!C:D,2,0),""),10)</f>
        <v/>
      </c>
      <c r="I35" s="19"/>
    </row>
    <row r="36" spans="1:9" s="18" customFormat="1" ht="18" x14ac:dyDescent="0.35">
      <c r="A36" s="24"/>
      <c r="B36" s="26" t="str">
        <f>LEFT(IFERROR(VLOOKUP(A36,数据表!C:D,2,0),""),10)</f>
        <v/>
      </c>
      <c r="C36" s="24"/>
      <c r="D36" s="26" t="str">
        <f>LEFT(IFERROR(VLOOKUP(C36,数据表!C:D,2,0),""),10)</f>
        <v/>
      </c>
      <c r="E36" s="24"/>
      <c r="F36" s="26" t="str">
        <f>LEFT(IFERROR(VLOOKUP(E36,数据表!C:D,2,0),""),10)</f>
        <v/>
      </c>
      <c r="G36" s="31"/>
      <c r="H36" s="27" t="str">
        <f>LEFT(IFERROR(VLOOKUP(G36,数据表!C:D,2,0),""),10)</f>
        <v/>
      </c>
      <c r="I36" s="19"/>
    </row>
    <row r="37" spans="1:9" s="18" customFormat="1" ht="18" x14ac:dyDescent="0.35">
      <c r="A37" s="23" t="s">
        <v>1391</v>
      </c>
      <c r="B37" s="26" t="str">
        <f>LEFT(IFERROR(VLOOKUP(A37,数据表!C:D,2,0),""),10)</f>
        <v/>
      </c>
      <c r="C37" s="23"/>
      <c r="D37" s="26" t="str">
        <f>LEFT(IFERROR(VLOOKUP(C37,数据表!C:D,2,0),""),10)</f>
        <v/>
      </c>
      <c r="E37" s="23"/>
      <c r="F37" s="26" t="str">
        <f>LEFT(IFERROR(VLOOKUP(E37,数据表!C:D,2,0),""),10)</f>
        <v/>
      </c>
      <c r="G37" s="31"/>
      <c r="H37" s="27" t="str">
        <f>LEFT(IFERROR(VLOOKUP(G37,数据表!C:D,2,0),""),10)</f>
        <v/>
      </c>
      <c r="I37" s="19"/>
    </row>
    <row r="38" spans="1:9" s="18" customFormat="1" ht="18" x14ac:dyDescent="0.35">
      <c r="A38" s="24" t="s">
        <v>705</v>
      </c>
      <c r="B38" s="26" t="str">
        <f>LEFT(IFERROR(VLOOKUP(A38,数据表!C:D,2,0),""),10)</f>
        <v>用户操作记录表</v>
      </c>
      <c r="C38" s="24"/>
      <c r="D38" s="26" t="str">
        <f>LEFT(IFERROR(VLOOKUP(C38,数据表!C:D,2,0),""),10)</f>
        <v/>
      </c>
      <c r="E38" s="24"/>
      <c r="F38" s="26" t="str">
        <f>LEFT(IFERROR(VLOOKUP(E38,数据表!C:D,2,0),""),10)</f>
        <v/>
      </c>
      <c r="G38" s="31"/>
      <c r="H38" s="27" t="str">
        <f>LEFT(IFERROR(VLOOKUP(G38,数据表!C:D,2,0),""),10)</f>
        <v/>
      </c>
      <c r="I38" s="19"/>
    </row>
    <row r="39" spans="1:9" s="18" customFormat="1" ht="18" x14ac:dyDescent="0.35">
      <c r="A39" s="24" t="s">
        <v>792</v>
      </c>
      <c r="B39" s="26" t="str">
        <f>LEFT(IFERROR(VLOOKUP(A39,数据表!C:D,2,0),""),10)</f>
        <v>用户登录信息</v>
      </c>
      <c r="C39" s="24"/>
      <c r="D39" s="26" t="str">
        <f>LEFT(IFERROR(VLOOKUP(C39,数据表!C:D,2,0),""),10)</f>
        <v/>
      </c>
      <c r="E39" s="24"/>
      <c r="F39" s="26" t="str">
        <f>LEFT(IFERROR(VLOOKUP(E39,数据表!C:D,2,0),""),10)</f>
        <v/>
      </c>
      <c r="G39" s="31"/>
      <c r="H39" s="27" t="str">
        <f>LEFT(IFERROR(VLOOKUP(G39,数据表!C:D,2,0),""),10)</f>
        <v/>
      </c>
      <c r="I39" s="19"/>
    </row>
    <row r="40" spans="1:9" s="18" customFormat="1" ht="18" x14ac:dyDescent="0.35">
      <c r="A40" s="24"/>
      <c r="B40" s="26" t="str">
        <f>LEFT(IFERROR(VLOOKUP(A40,数据表!C:D,2,0),""),10)</f>
        <v/>
      </c>
      <c r="C40" s="24"/>
      <c r="D40" s="26" t="str">
        <f>LEFT(IFERROR(VLOOKUP(C40,数据表!C:D,2,0),""),10)</f>
        <v/>
      </c>
      <c r="E40" s="24"/>
      <c r="F40" s="26" t="str">
        <f>LEFT(IFERROR(VLOOKUP(E40,数据表!C:D,2,0),""),10)</f>
        <v/>
      </c>
      <c r="G40" s="31"/>
      <c r="H40" s="27" t="str">
        <f>LEFT(IFERROR(VLOOKUP(G40,数据表!C:D,2,0),""),10)</f>
        <v/>
      </c>
      <c r="I40" s="19"/>
    </row>
    <row r="41" spans="1:9" s="18" customFormat="1" ht="18" x14ac:dyDescent="0.35">
      <c r="A41" s="23" t="s">
        <v>1322</v>
      </c>
      <c r="B41" s="26" t="str">
        <f>LEFT(IFERROR(VLOOKUP(A41,数据表!C:D,2,0),""),10)</f>
        <v/>
      </c>
      <c r="C41" s="23"/>
      <c r="D41" s="26" t="str">
        <f>LEFT(IFERROR(VLOOKUP(C41,数据表!C:D,2,0),""),10)</f>
        <v/>
      </c>
      <c r="E41" s="23"/>
      <c r="F41" s="26" t="str">
        <f>LEFT(IFERROR(VLOOKUP(E41,数据表!C:D,2,0),""),10)</f>
        <v/>
      </c>
      <c r="G41" s="31"/>
      <c r="H41" s="27" t="str">
        <f>LEFT(IFERROR(VLOOKUP(G41,数据表!C:D,2,0),""),10)</f>
        <v/>
      </c>
      <c r="I41" s="19"/>
    </row>
    <row r="42" spans="1:9" s="18" customFormat="1" ht="18" x14ac:dyDescent="0.35">
      <c r="A42" s="24" t="s">
        <v>226</v>
      </c>
      <c r="B42" s="26" t="str">
        <f>LEFT(IFERROR(VLOOKUP(A42,数据表!C:D,2,0),""),10)</f>
        <v>快钱充值流水记录表</v>
      </c>
      <c r="C42" s="24" t="s">
        <v>1221</v>
      </c>
      <c r="D42" s="26" t="str">
        <f>LEFT(IFERROR(VLOOKUP(C42,数据表!C:D,2,0),""),10)</f>
        <v>第三方平台交易流水记</v>
      </c>
      <c r="E42" s="24"/>
      <c r="F42" s="26" t="str">
        <f>LEFT(IFERROR(VLOOKUP(E42,数据表!C:D,2,0),""),10)</f>
        <v/>
      </c>
      <c r="G42" s="31"/>
      <c r="H42" s="27" t="str">
        <f>LEFT(IFERROR(VLOOKUP(G42,数据表!C:D,2,0),""),10)</f>
        <v/>
      </c>
      <c r="I42" s="19"/>
    </row>
    <row r="43" spans="1:9" s="18" customFormat="1" ht="18" x14ac:dyDescent="0.35">
      <c r="A43" s="24" t="s">
        <v>487</v>
      </c>
      <c r="B43" s="26" t="str">
        <f>LEFT(IFERROR(VLOOKUP(A43,数据表!C:D,2,0),""),10)</f>
        <v>快钱订单表</v>
      </c>
      <c r="C43" s="24"/>
      <c r="D43" s="26" t="str">
        <f>LEFT(IFERROR(VLOOKUP(C43,数据表!C:D,2,0),""),10)</f>
        <v/>
      </c>
      <c r="E43" s="24"/>
      <c r="F43" s="26" t="str">
        <f>LEFT(IFERROR(VLOOKUP(E43,数据表!C:D,2,0),""),10)</f>
        <v/>
      </c>
      <c r="G43" s="31"/>
      <c r="H43" s="27" t="str">
        <f>LEFT(IFERROR(VLOOKUP(G43,数据表!C:D,2,0),""),10)</f>
        <v/>
      </c>
      <c r="I43" s="19"/>
    </row>
    <row r="44" spans="1:9" s="18" customFormat="1" ht="18" x14ac:dyDescent="0.35">
      <c r="A44" s="24" t="s">
        <v>490</v>
      </c>
      <c r="B44" s="26" t="str">
        <f>LEFT(IFERROR(VLOOKUP(A44,数据表!C:D,2,0),""),10)</f>
        <v>快钱操作记录流水表</v>
      </c>
      <c r="C44" s="24"/>
      <c r="D44" s="26" t="str">
        <f>LEFT(IFERROR(VLOOKUP(C44,数据表!C:D,2,0),""),10)</f>
        <v/>
      </c>
      <c r="E44" s="24"/>
      <c r="F44" s="26" t="str">
        <f>LEFT(IFERROR(VLOOKUP(E44,数据表!C:D,2,0),""),10)</f>
        <v/>
      </c>
      <c r="G44" s="31"/>
      <c r="H44" s="27" t="str">
        <f>LEFT(IFERROR(VLOOKUP(G44,数据表!C:D,2,0),""),10)</f>
        <v/>
      </c>
      <c r="I44" s="19"/>
    </row>
    <row r="45" spans="1:9" s="18" customFormat="1" ht="18" x14ac:dyDescent="0.35">
      <c r="A45" s="24" t="s">
        <v>534</v>
      </c>
      <c r="B45" s="26" t="str">
        <f>LEFT(IFERROR(VLOOKUP(A45,数据表!C:D,2,0),""),10)</f>
        <v>在线充值 对应原数据</v>
      </c>
      <c r="C45" s="24"/>
      <c r="D45" s="26" t="str">
        <f>LEFT(IFERROR(VLOOKUP(C45,数据表!C:D,2,0),""),10)</f>
        <v/>
      </c>
      <c r="E45" s="24"/>
      <c r="F45" s="26" t="str">
        <f>LEFT(IFERROR(VLOOKUP(E45,数据表!C:D,2,0),""),10)</f>
        <v/>
      </c>
      <c r="G45" s="31"/>
      <c r="H45" s="27" t="str">
        <f>LEFT(IFERROR(VLOOKUP(G45,数据表!C:D,2,0),""),10)</f>
        <v/>
      </c>
      <c r="I45" s="19"/>
    </row>
    <row r="46" spans="1:9" s="18" customFormat="1" ht="18" x14ac:dyDescent="0.35">
      <c r="A46" s="24" t="s">
        <v>604</v>
      </c>
      <c r="B46" s="26" t="str">
        <f>LEFT(IFERROR(VLOOKUP(A46,数据表!C:D,2,0),""),10)</f>
        <v>充值记录表</v>
      </c>
      <c r="C46" s="24"/>
      <c r="D46" s="26" t="str">
        <f>LEFT(IFERROR(VLOOKUP(C46,数据表!C:D,2,0),""),10)</f>
        <v/>
      </c>
      <c r="E46" s="24"/>
      <c r="F46" s="26" t="str">
        <f>LEFT(IFERROR(VLOOKUP(E46,数据表!C:D,2,0),""),10)</f>
        <v/>
      </c>
      <c r="G46" s="31"/>
      <c r="H46" s="27" t="str">
        <f>LEFT(IFERROR(VLOOKUP(G46,数据表!C:D,2,0),""),10)</f>
        <v/>
      </c>
      <c r="I46" s="19"/>
    </row>
    <row r="47" spans="1:9" s="18" customFormat="1" ht="18" x14ac:dyDescent="0.35">
      <c r="A47" s="24" t="s">
        <v>615</v>
      </c>
      <c r="B47" s="26" t="str">
        <f>LEFT(IFERROR(VLOOKUP(A47,数据表!C:D,2,0),""),10)</f>
        <v>盛付通充值流水记录表</v>
      </c>
      <c r="C47" s="24"/>
      <c r="D47" s="26" t="str">
        <f>LEFT(IFERROR(VLOOKUP(C47,数据表!C:D,2,0),""),10)</f>
        <v/>
      </c>
      <c r="E47" s="24"/>
      <c r="F47" s="26" t="str">
        <f>LEFT(IFERROR(VLOOKUP(E47,数据表!C:D,2,0),""),10)</f>
        <v/>
      </c>
      <c r="G47" s="31"/>
      <c r="H47" s="27" t="str">
        <f>LEFT(IFERROR(VLOOKUP(G47,数据表!C:D,2,0),""),10)</f>
        <v/>
      </c>
      <c r="I47" s="19"/>
    </row>
    <row r="48" spans="1:9" s="18" customFormat="1" ht="18" x14ac:dyDescent="0.35">
      <c r="A48" s="24" t="s">
        <v>892</v>
      </c>
      <c r="B48" s="26" t="str">
        <f>LEFT(IFERROR(VLOOKUP(A48,数据表!C:D,2,0),""),10)</f>
        <v>易联订单表</v>
      </c>
      <c r="C48" s="24"/>
      <c r="D48" s="26" t="str">
        <f>LEFT(IFERROR(VLOOKUP(C48,数据表!C:D,2,0),""),10)</f>
        <v/>
      </c>
      <c r="E48" s="24"/>
      <c r="F48" s="26" t="str">
        <f>LEFT(IFERROR(VLOOKUP(E48,数据表!C:D,2,0),""),10)</f>
        <v/>
      </c>
      <c r="G48" s="31"/>
      <c r="H48" s="27" t="str">
        <f>LEFT(IFERROR(VLOOKUP(G48,数据表!C:D,2,0),""),10)</f>
        <v/>
      </c>
      <c r="I48" s="19"/>
    </row>
    <row r="49" spans="1:9" s="18" customFormat="1" ht="18" x14ac:dyDescent="0.35">
      <c r="A49" s="24" t="s">
        <v>895</v>
      </c>
      <c r="B49" s="26" t="str">
        <f>LEFT(IFERROR(VLOOKUP(A49,数据表!C:D,2,0),""),10)</f>
        <v>易联操作记录表</v>
      </c>
      <c r="C49" s="24"/>
      <c r="D49" s="26" t="str">
        <f>LEFT(IFERROR(VLOOKUP(C49,数据表!C:D,2,0),""),10)</f>
        <v/>
      </c>
      <c r="E49" s="24"/>
      <c r="F49" s="26" t="str">
        <f>LEFT(IFERROR(VLOOKUP(E49,数据表!C:D,2,0),""),10)</f>
        <v/>
      </c>
      <c r="G49" s="31"/>
      <c r="H49" s="27" t="str">
        <f>LEFT(IFERROR(VLOOKUP(G49,数据表!C:D,2,0),""),10)</f>
        <v/>
      </c>
      <c r="I49" s="19"/>
    </row>
    <row r="50" spans="1:9" s="18" customFormat="1" ht="18" x14ac:dyDescent="0.35">
      <c r="A50" s="24" t="s">
        <v>906</v>
      </c>
      <c r="B50" s="26" t="str">
        <f>LEFT(IFERROR(VLOOKUP(A50,数据表!C:D,2,0),""),10)</f>
        <v/>
      </c>
      <c r="C50" s="24"/>
      <c r="D50" s="26" t="str">
        <f>LEFT(IFERROR(VLOOKUP(C50,数据表!C:D,2,0),""),10)</f>
        <v/>
      </c>
      <c r="E50" s="24"/>
      <c r="F50" s="26" t="str">
        <f>LEFT(IFERROR(VLOOKUP(E50,数据表!C:D,2,0),""),10)</f>
        <v/>
      </c>
      <c r="G50" s="31"/>
      <c r="H50" s="27" t="str">
        <f>LEFT(IFERROR(VLOOKUP(G50,数据表!C:D,2,0),""),10)</f>
        <v/>
      </c>
      <c r="I50" s="19"/>
    </row>
    <row r="51" spans="1:9" s="18" customFormat="1" ht="18" x14ac:dyDescent="0.35">
      <c r="A51" s="24" t="s">
        <v>907</v>
      </c>
      <c r="B51" s="26" t="str">
        <f>LEFT(IFERROR(VLOOKUP(A51,数据表!C:D,2,0),""),10)</f>
        <v/>
      </c>
      <c r="C51" s="24"/>
      <c r="D51" s="26" t="str">
        <f>LEFT(IFERROR(VLOOKUP(C51,数据表!C:D,2,0),""),10)</f>
        <v/>
      </c>
      <c r="E51" s="24"/>
      <c r="F51" s="26" t="str">
        <f>LEFT(IFERROR(VLOOKUP(E51,数据表!C:D,2,0),""),10)</f>
        <v/>
      </c>
      <c r="G51" s="31"/>
      <c r="H51" s="27" t="str">
        <f>LEFT(IFERROR(VLOOKUP(G51,数据表!C:D,2,0),""),10)</f>
        <v/>
      </c>
      <c r="I51" s="19"/>
    </row>
    <row r="52" spans="1:9" s="18" customFormat="1" ht="18" x14ac:dyDescent="0.35">
      <c r="A52" s="24" t="s">
        <v>1424</v>
      </c>
      <c r="B52" s="26" t="str">
        <f>LEFT(IFERROR(VLOOKUP(A52,数据表!C:D,2,0),""),10)</f>
        <v/>
      </c>
      <c r="C52" s="24"/>
      <c r="D52" s="26" t="str">
        <f>LEFT(IFERROR(VLOOKUP(C52,数据表!C:D,2,0),""),10)</f>
        <v/>
      </c>
      <c r="E52" s="24"/>
      <c r="F52" s="26" t="str">
        <f>LEFT(IFERROR(VLOOKUP(E52,数据表!C:D,2,0),""),10)</f>
        <v/>
      </c>
      <c r="G52" s="31"/>
      <c r="H52" s="27" t="str">
        <f>LEFT(IFERROR(VLOOKUP(G52,数据表!C:D,2,0),""),10)</f>
        <v/>
      </c>
      <c r="I52" s="19"/>
    </row>
    <row r="53" spans="1:9" s="18" customFormat="1" ht="18" x14ac:dyDescent="0.35">
      <c r="A53" s="24" t="s">
        <v>1425</v>
      </c>
      <c r="B53" s="26" t="str">
        <f>LEFT(IFERROR(VLOOKUP(A53,数据表!C:D,2,0),""),10)</f>
        <v/>
      </c>
      <c r="C53" s="24"/>
      <c r="D53" s="26" t="str">
        <f>LEFT(IFERROR(VLOOKUP(C53,数据表!C:D,2,0),""),10)</f>
        <v/>
      </c>
      <c r="E53" s="24"/>
      <c r="F53" s="26" t="str">
        <f>LEFT(IFERROR(VLOOKUP(E53,数据表!C:D,2,0),""),10)</f>
        <v/>
      </c>
      <c r="G53" s="31"/>
      <c r="H53" s="27" t="str">
        <f>LEFT(IFERROR(VLOOKUP(G53,数据表!C:D,2,0),""),10)</f>
        <v/>
      </c>
      <c r="I53" s="19"/>
    </row>
    <row r="54" spans="1:9" s="18" customFormat="1" ht="18" x14ac:dyDescent="0.35">
      <c r="A54" s="24"/>
      <c r="B54" s="26" t="str">
        <f>LEFT(IFERROR(VLOOKUP(A54,数据表!C:D,2,0),""),10)</f>
        <v/>
      </c>
      <c r="C54" s="24"/>
      <c r="D54" s="26" t="str">
        <f>LEFT(IFERROR(VLOOKUP(C54,数据表!C:D,2,0),""),10)</f>
        <v/>
      </c>
      <c r="E54" s="24"/>
      <c r="F54" s="26" t="str">
        <f>LEFT(IFERROR(VLOOKUP(E54,数据表!C:D,2,0),""),10)</f>
        <v/>
      </c>
      <c r="G54" s="31"/>
      <c r="H54" s="27" t="str">
        <f>LEFT(IFERROR(VLOOKUP(G54,数据表!C:D,2,0),""),10)</f>
        <v/>
      </c>
      <c r="I54" s="19"/>
    </row>
    <row r="55" spans="1:9" s="18" customFormat="1" ht="18" x14ac:dyDescent="0.35">
      <c r="A55" s="23" t="s">
        <v>1392</v>
      </c>
      <c r="B55" s="26" t="str">
        <f>LEFT(IFERROR(VLOOKUP(A55,数据表!C:D,2,0),""),10)</f>
        <v/>
      </c>
      <c r="C55" s="23"/>
      <c r="D55" s="26" t="str">
        <f>LEFT(IFERROR(VLOOKUP(C55,数据表!C:D,2,0),""),10)</f>
        <v/>
      </c>
      <c r="E55" s="21"/>
      <c r="F55" s="27" t="str">
        <f>LEFT(IFERROR(VLOOKUP(E55,数据表!C:D,2,0),""),10)</f>
        <v/>
      </c>
      <c r="G55" s="30" t="s">
        <v>1365</v>
      </c>
      <c r="H55" s="27" t="str">
        <f>LEFT(IFERROR(VLOOKUP(G55,数据表!C:D,2,0),""),10)</f>
        <v/>
      </c>
      <c r="I55" s="19"/>
    </row>
    <row r="56" spans="1:9" s="18" customFormat="1" ht="18" x14ac:dyDescent="0.35">
      <c r="A56" s="24" t="s">
        <v>359</v>
      </c>
      <c r="B56" s="26" t="str">
        <f>LEFT(IFERROR(VLOOKUP(A56,数据表!C:D,2,0),""),10)</f>
        <v>财神爷爷发布记录表</v>
      </c>
      <c r="C56" s="24" t="s">
        <v>1087</v>
      </c>
      <c r="D56" s="26" t="str">
        <f>LEFT(IFERROR(VLOOKUP(C56,数据表!C:D,2,0),""),10)</f>
        <v>产品明细(一个标的下</v>
      </c>
      <c r="E56" s="22" t="s">
        <v>953</v>
      </c>
      <c r="F56" s="27" t="str">
        <f>LEFT(IFERROR(VLOOKUP(E56,数据表!C:D,2,0),""),10)</f>
        <v>商户表</v>
      </c>
      <c r="G56" s="31" t="s">
        <v>601</v>
      </c>
      <c r="H56" s="27" t="str">
        <f>LEFT(IFERROR(VLOOKUP(G56,数据表!C:D,2,0),""),10)</f>
        <v>产品表</v>
      </c>
      <c r="I56" s="19"/>
    </row>
    <row r="57" spans="1:9" s="18" customFormat="1" ht="18" x14ac:dyDescent="0.35">
      <c r="A57" s="24" t="s">
        <v>370</v>
      </c>
      <c r="B57" s="26" t="str">
        <f>LEFT(IFERROR(VLOOKUP(A57,数据表!C:D,2,0),""),10)</f>
        <v/>
      </c>
      <c r="C57" s="24" t="s">
        <v>1166</v>
      </c>
      <c r="D57" s="26" t="str">
        <f>LEFT(IFERROR(VLOOKUP(C57,数据表!C:D,2,0),""),10)</f>
        <v/>
      </c>
      <c r="E57" s="22" t="s">
        <v>967</v>
      </c>
      <c r="F57" s="27" t="str">
        <f>LEFT(IFERROR(VLOOKUP(E57,数据表!C:D,2,0),""),10)</f>
        <v>商户门店</v>
      </c>
      <c r="G57" s="31" t="s">
        <v>224</v>
      </c>
      <c r="H57" s="27" t="str">
        <f>LEFT(IFERROR(VLOOKUP(G57,数据表!C:D,2,0),""),10)</f>
        <v>账单表，计算所有人的</v>
      </c>
      <c r="I57" s="19"/>
    </row>
    <row r="58" spans="1:9" s="18" customFormat="1" ht="18" x14ac:dyDescent="0.35">
      <c r="A58" s="24" t="s">
        <v>391</v>
      </c>
      <c r="B58" s="26" t="str">
        <f>LEFT(IFERROR(VLOOKUP(A58,数据表!C:D,2,0),""),10)</f>
        <v>债权出售表</v>
      </c>
      <c r="C58" s="24" t="s">
        <v>1167</v>
      </c>
      <c r="D58" s="26" t="str">
        <f>LEFT(IFERROR(VLOOKUP(C58,数据表!C:D,2,0),""),10)</f>
        <v>产品奖－励加息配置表</v>
      </c>
      <c r="E58" s="22" t="s">
        <v>969</v>
      </c>
      <c r="F58" s="27" t="str">
        <f>LEFT(IFERROR(VLOOKUP(E58,数据表!C:D,2,0),""),10)</f>
        <v>门店风控数据表</v>
      </c>
      <c r="G58" s="31" t="s">
        <v>228</v>
      </c>
      <c r="H58" s="27" t="str">
        <f>LEFT(IFERROR(VLOOKUP(G58,数据表!C:D,2,0),""),10)</f>
        <v>账单还款记录表，每还</v>
      </c>
      <c r="I58" s="19"/>
    </row>
    <row r="59" spans="1:9" s="18" customFormat="1" ht="18" x14ac:dyDescent="0.35">
      <c r="A59" s="24" t="s">
        <v>434</v>
      </c>
      <c r="B59" s="26" t="str">
        <f>LEFT(IFERROR(VLOOKUP(A59,数据表!C:D,2,0),""),10)</f>
        <v>诺诺精选表</v>
      </c>
      <c r="C59" s="24" t="s">
        <v>1170</v>
      </c>
      <c r="D59" s="26" t="str">
        <f>LEFT(IFERROR(VLOOKUP(C59,数据表!C:D,2,0),""),10)</f>
        <v>产品信息</v>
      </c>
      <c r="E59" s="22" t="s">
        <v>982</v>
      </c>
      <c r="F59" s="27" t="str">
        <f>LEFT(IFERROR(VLOOKUP(E59,数据表!C:D,2,0),""),10)</f>
        <v>商户风控信息表</v>
      </c>
      <c r="G59" s="31" t="s">
        <v>350</v>
      </c>
      <c r="H59" s="27" t="str">
        <f>LEFT(IFERROR(VLOOKUP(G59,数据表!C:D,2,0),""),10)</f>
        <v>信用账户表</v>
      </c>
      <c r="I59" s="19"/>
    </row>
    <row r="60" spans="1:9" s="18" customFormat="1" ht="18" x14ac:dyDescent="0.35">
      <c r="A60" s="24" t="s">
        <v>439</v>
      </c>
      <c r="B60" s="26" t="str">
        <f>LEFT(IFERROR(VLOOKUP(A60,数据表!C:D,2,0),""),10)</f>
        <v>精选类型表</v>
      </c>
      <c r="C60" s="24" t="s">
        <v>1171</v>
      </c>
      <c r="D60" s="26" t="str">
        <f>LEFT(IFERROR(VLOOKUP(C60,数据表!C:D,2,0),""),10)</f>
        <v/>
      </c>
      <c r="E60" s="22"/>
      <c r="F60" s="27" t="str">
        <f>LEFT(IFERROR(VLOOKUP(E60,数据表!C:D,2,0),""),10)</f>
        <v/>
      </c>
      <c r="G60" s="31" t="s">
        <v>352</v>
      </c>
      <c r="H60" s="27" t="str">
        <f>LEFT(IFERROR(VLOOKUP(G60,数据表!C:D,2,0),""),10)</f>
        <v>信用消费记录表</v>
      </c>
      <c r="I60" s="19"/>
    </row>
    <row r="61" spans="1:9" s="18" customFormat="1" ht="18" x14ac:dyDescent="0.35">
      <c r="A61" s="24" t="s">
        <v>474</v>
      </c>
      <c r="B61" s="26" t="str">
        <f>LEFT(IFERROR(VLOOKUP(A61,数据表!C:D,2,0),""),10)</f>
        <v/>
      </c>
      <c r="C61" s="24" t="s">
        <v>1175</v>
      </c>
      <c r="D61" s="26" t="str">
        <f>LEFT(IFERROR(VLOOKUP(C61,数据表!C:D,2,0),""),10)</f>
        <v>产品利率</v>
      </c>
      <c r="E61" s="22"/>
      <c r="F61" s="27" t="str">
        <f>LEFT(IFERROR(VLOOKUP(E61,数据表!C:D,2,0),""),10)</f>
        <v/>
      </c>
      <c r="G61" s="31"/>
      <c r="H61" s="27" t="str">
        <f>LEFT(IFERROR(VLOOKUP(G61,数据表!C:D,2,0),""),10)</f>
        <v/>
      </c>
      <c r="I61" s="19"/>
    </row>
    <row r="62" spans="1:9" s="18" customFormat="1" ht="18" x14ac:dyDescent="0.35">
      <c r="A62" s="24" t="s">
        <v>475</v>
      </c>
      <c r="B62" s="26" t="str">
        <f>LEFT(IFERROR(VLOOKUP(A62,数据表!C:D,2,0),""),10)</f>
        <v>精选购买债权预匹配表</v>
      </c>
      <c r="C62" s="24"/>
      <c r="D62" s="26" t="str">
        <f>LEFT(IFERROR(VLOOKUP(C62,数据表!C:D,2,0),""),10)</f>
        <v/>
      </c>
      <c r="E62" s="22"/>
      <c r="F62" s="27" t="str">
        <f>LEFT(IFERROR(VLOOKUP(E62,数据表!C:D,2,0),""),10)</f>
        <v/>
      </c>
      <c r="G62" s="30" t="s">
        <v>1396</v>
      </c>
      <c r="H62" s="27" t="str">
        <f>LEFT(IFERROR(VLOOKUP(G62,数据表!C:D,2,0),""),10)</f>
        <v/>
      </c>
      <c r="I62" s="19"/>
    </row>
    <row r="63" spans="1:9" s="18" customFormat="1" ht="18" x14ac:dyDescent="0.35">
      <c r="A63" s="24" t="s">
        <v>477</v>
      </c>
      <c r="B63" s="26" t="str">
        <f>LEFT(IFERROR(VLOOKUP(A63,数据表!C:D,2,0),""),10)</f>
        <v>月月精选每日统一打包</v>
      </c>
      <c r="C63" s="24"/>
      <c r="D63" s="26" t="str">
        <f>LEFT(IFERROR(VLOOKUP(C63,数据表!C:D,2,0),""),10)</f>
        <v/>
      </c>
      <c r="E63" s="22" t="s">
        <v>924</v>
      </c>
      <c r="F63" s="27" t="str">
        <f>LEFT(IFERROR(VLOOKUP(E63,数据表!C:D,2,0),""),10)</f>
        <v>订单表</v>
      </c>
      <c r="G63" s="31" t="s">
        <v>291</v>
      </c>
      <c r="H63" s="27" t="str">
        <f>LEFT(IFERROR(VLOOKUP(G63,数据表!C:D,2,0),""),10)</f>
        <v>进件 old tab</v>
      </c>
      <c r="I63" s="19"/>
    </row>
    <row r="64" spans="1:9" s="18" customFormat="1" ht="18" x14ac:dyDescent="0.35">
      <c r="A64" s="24" t="s">
        <v>479</v>
      </c>
      <c r="B64" s="26" t="str">
        <f>LEFT(IFERROR(VLOOKUP(A64,数据表!C:D,2,0),""),10)</f>
        <v>月月升债权记录和计划</v>
      </c>
      <c r="C64" s="24"/>
      <c r="D64" s="26" t="str">
        <f>LEFT(IFERROR(VLOOKUP(C64,数据表!C:D,2,0),""),10)</f>
        <v/>
      </c>
      <c r="E64" s="22"/>
      <c r="F64" s="27" t="str">
        <f>LEFT(IFERROR(VLOOKUP(E64,数据表!C:D,2,0),""),10)</f>
        <v/>
      </c>
      <c r="G64" s="31" t="s">
        <v>299</v>
      </c>
      <c r="H64" s="27" t="str">
        <f>LEFT(IFERROR(VLOOKUP(G64,数据表!C:D,2,0),""),10)</f>
        <v>预发标</v>
      </c>
      <c r="I64" s="19"/>
    </row>
    <row r="65" spans="1:9" s="18" customFormat="1" ht="18" x14ac:dyDescent="0.35">
      <c r="A65" s="24" t="s">
        <v>481</v>
      </c>
      <c r="B65" s="26" t="str">
        <f>LEFT(IFERROR(VLOOKUP(A65,数据表!C:D,2,0),""),10)</f>
        <v>投资月月升用户债权变</v>
      </c>
      <c r="C65" s="24"/>
      <c r="D65" s="26" t="str">
        <f>LEFT(IFERROR(VLOOKUP(C65,数据表!C:D,2,0),""),10)</f>
        <v/>
      </c>
      <c r="E65" s="22"/>
      <c r="F65" s="27" t="str">
        <f>LEFT(IFERROR(VLOOKUP(E65,数据表!C:D,2,0),""),10)</f>
        <v/>
      </c>
      <c r="G65" s="31" t="s">
        <v>308</v>
      </c>
      <c r="H65" s="27" t="str">
        <f>LEFT(IFERROR(VLOOKUP(G65,数据表!C:D,2,0),""),10)</f>
        <v/>
      </c>
      <c r="I65" s="19"/>
    </row>
    <row r="66" spans="1:9" s="18" customFormat="1" ht="18" x14ac:dyDescent="0.35">
      <c r="A66" s="24"/>
      <c r="B66" s="26" t="str">
        <f>LEFT(IFERROR(VLOOKUP(A66,数据表!C:D,2,0),""),10)</f>
        <v/>
      </c>
      <c r="C66" s="24"/>
      <c r="D66" s="26" t="str">
        <f>LEFT(IFERROR(VLOOKUP(C66,数据表!C:D,2,0),""),10)</f>
        <v/>
      </c>
      <c r="E66" s="22"/>
      <c r="F66" s="27" t="str">
        <f>LEFT(IFERROR(VLOOKUP(E66,数据表!C:D,2,0),""),10)</f>
        <v/>
      </c>
      <c r="G66" s="31" t="s">
        <v>276</v>
      </c>
      <c r="H66" s="27" t="str">
        <f>LEFT(IFERROR(VLOOKUP(G66,数据表!C:D,2,0),""),10)</f>
        <v>会员联系人表 原表m</v>
      </c>
      <c r="I66" s="19"/>
    </row>
    <row r="67" spans="1:9" s="18" customFormat="1" ht="18" x14ac:dyDescent="0.35">
      <c r="A67" s="24"/>
      <c r="B67" s="26" t="str">
        <f>LEFT(IFERROR(VLOOKUP(A67,数据表!C:D,2,0),""),10)</f>
        <v/>
      </c>
      <c r="C67" s="24"/>
      <c r="D67" s="26" t="str">
        <f>LEFT(IFERROR(VLOOKUP(C67,数据表!C:D,2,0),""),10)</f>
        <v/>
      </c>
      <c r="E67" s="22"/>
      <c r="F67" s="27" t="str">
        <f>LEFT(IFERROR(VLOOKUP(E67,数据表!C:D,2,0),""),10)</f>
        <v/>
      </c>
      <c r="G67" s="31" t="s">
        <v>745</v>
      </c>
      <c r="H67" s="27" t="str">
        <f>LEFT(IFERROR(VLOOKUP(G67,数据表!C:D,2,0),""),10)</f>
        <v>用户对用的消费金融信</v>
      </c>
      <c r="I67" s="19"/>
    </row>
    <row r="68" spans="1:9" s="18" customFormat="1" ht="18" x14ac:dyDescent="0.35">
      <c r="A68" s="23" t="s">
        <v>1381</v>
      </c>
      <c r="B68" s="26" t="str">
        <f>LEFT(IFERROR(VLOOKUP(A68,数据表!C:D,2,0),""),10)</f>
        <v/>
      </c>
      <c r="C68" s="23"/>
      <c r="D68" s="26" t="str">
        <f>LEFT(IFERROR(VLOOKUP(C68,数据表!C:D,2,0),""),10)</f>
        <v/>
      </c>
      <c r="E68" s="21"/>
      <c r="F68" s="27" t="str">
        <f>LEFT(IFERROR(VLOOKUP(E68,数据表!C:D,2,0),""),10)</f>
        <v/>
      </c>
      <c r="G68" s="31" t="s">
        <v>247</v>
      </c>
      <c r="H68" s="27" t="str">
        <f>LEFT(IFERROR(VLOOKUP(G68,数据表!C:D,2,0),""),10)</f>
        <v>借款表</v>
      </c>
      <c r="I68" s="19"/>
    </row>
    <row r="69" spans="1:9" s="18" customFormat="1" ht="18" x14ac:dyDescent="0.35">
      <c r="A69" s="24" t="s">
        <v>261</v>
      </c>
      <c r="B69" s="26" t="str">
        <f>LEFT(IFERROR(VLOOKUP(A69,数据表!C:D,2,0),""),10)</f>
        <v>投标表</v>
      </c>
      <c r="C69" s="24" t="s">
        <v>536</v>
      </c>
      <c r="D69" s="26" t="str">
        <f>LEFT(IFERROR(VLOOKUP(C69,数据表!C:D,2,0),""),10)</f>
        <v>回调信息表</v>
      </c>
      <c r="E69" s="22"/>
      <c r="F69" s="27" t="str">
        <f>LEFT(IFERROR(VLOOKUP(E69,数据表!C:D,2,0),""),10)</f>
        <v/>
      </c>
      <c r="G69" s="31" t="s">
        <v>256</v>
      </c>
      <c r="H69" s="27" t="str">
        <f>LEFT(IFERROR(VLOOKUP(G69,数据表!C:D,2,0),""),10)</f>
        <v>认证表</v>
      </c>
      <c r="I69" s="19"/>
    </row>
    <row r="70" spans="1:9" s="18" customFormat="1" ht="18" x14ac:dyDescent="0.35">
      <c r="A70" s="24" t="s">
        <v>376</v>
      </c>
      <c r="B70" s="26" t="str">
        <f>LEFT(IFERROR(VLOOKUP(A70,数据表!C:D,2,0),""),10)</f>
        <v>债权购买记录表</v>
      </c>
      <c r="C70" s="24" t="s">
        <v>1238</v>
      </c>
      <c r="D70" s="26" t="str">
        <f>LEFT(IFERROR(VLOOKUP(C70,数据表!C:D,2,0),""),10)</f>
        <v>交易流水表</v>
      </c>
      <c r="E70" s="22" t="s">
        <v>926</v>
      </c>
      <c r="F70" s="27" t="str">
        <f>LEFT(IFERROR(VLOOKUP(E70,数据表!C:D,2,0),""),10)</f>
        <v>订单审核历史表</v>
      </c>
      <c r="G70" s="31" t="s">
        <v>175</v>
      </c>
      <c r="H70" s="27" t="str">
        <f>LEFT(IFERROR(VLOOKUP(G70,数据表!C:D,2,0),""),10)</f>
        <v>管理员备注表</v>
      </c>
      <c r="I70" s="19"/>
    </row>
    <row r="71" spans="1:9" s="18" customFormat="1" ht="18" x14ac:dyDescent="0.35">
      <c r="A71" s="24" t="s">
        <v>866</v>
      </c>
      <c r="B71" s="26" t="str">
        <f>LEFT(IFERROR(VLOOKUP(A71,数据表!C:D,2,0),""),10)</f>
        <v>精选购买表</v>
      </c>
      <c r="C71" s="24" t="s">
        <v>1273</v>
      </c>
      <c r="D71" s="26" t="str">
        <f>LEFT(IFERROR(VLOOKUP(C71,数据表!C:D,2,0),""),10)</f>
        <v>用户成功购买的产品列</v>
      </c>
      <c r="E71" s="22"/>
      <c r="F71" s="27" t="str">
        <f>LEFT(IFERROR(VLOOKUP(E71,数据表!C:D,2,0),""),10)</f>
        <v/>
      </c>
      <c r="G71" s="31" t="s">
        <v>272</v>
      </c>
      <c r="H71" s="27" t="str">
        <f>LEFT(IFERROR(VLOOKUP(G71,数据表!C:D,2,0),""),10)</f>
        <v>咨询费表</v>
      </c>
      <c r="I71" s="19"/>
    </row>
    <row r="72" spans="1:9" s="18" customFormat="1" ht="18" x14ac:dyDescent="0.35">
      <c r="A72" s="24" t="s">
        <v>455</v>
      </c>
      <c r="B72" s="26" t="str">
        <f>LEFT(IFERROR(VLOOKUP(A72,数据表!C:D,2,0),""),10)</f>
        <v>诺诺宝申请表</v>
      </c>
      <c r="C72" s="24" t="s">
        <v>1276</v>
      </c>
      <c r="D72" s="26" t="str">
        <f>LEFT(IFERROR(VLOOKUP(C72,数据表!C:D,2,0),""),10)</f>
        <v>购买产品明细</v>
      </c>
      <c r="E72" s="22"/>
      <c r="F72" s="27" t="str">
        <f>LEFT(IFERROR(VLOOKUP(E72,数据表!C:D,2,0),""),10)</f>
        <v/>
      </c>
      <c r="G72" s="31" t="s">
        <v>309</v>
      </c>
      <c r="H72" s="27" t="str">
        <f>LEFT(IFERROR(VLOOKUP(G72,数据表!C:D,2,0),""),10)</f>
        <v>借入者还款表</v>
      </c>
      <c r="I72" s="19"/>
    </row>
    <row r="73" spans="1:9" s="18" customFormat="1" ht="18" x14ac:dyDescent="0.35">
      <c r="A73" s="24" t="s">
        <v>379</v>
      </c>
      <c r="B73" s="26" t="str">
        <f>LEFT(IFERROR(VLOOKUP(A73,数据表!C:D,2,0),""),10)</f>
        <v>债转购买关系记录表</v>
      </c>
      <c r="C73" s="24" t="s">
        <v>1297</v>
      </c>
      <c r="D73" s="26" t="str">
        <f>LEFT(IFERROR(VLOOKUP(C73,数据表!C:D,2,0),""),10)</f>
        <v/>
      </c>
      <c r="E73" s="22"/>
      <c r="F73" s="27" t="str">
        <f>LEFT(IFERROR(VLOOKUP(E73,数据表!C:D,2,0),""),10)</f>
        <v/>
      </c>
      <c r="G73" s="31" t="s">
        <v>282</v>
      </c>
      <c r="H73" s="27" t="str">
        <f>LEFT(IFERROR(VLOOKUP(G73,数据表!C:D,2,0),""),10)</f>
        <v>借入者代偿表</v>
      </c>
      <c r="I73" s="19"/>
    </row>
    <row r="74" spans="1:9" s="18" customFormat="1" ht="18" x14ac:dyDescent="0.35">
      <c r="A74" s="24" t="s">
        <v>493</v>
      </c>
      <c r="B74" s="26" t="str">
        <f>LEFT(IFERROR(VLOOKUP(A74,数据表!C:D,2,0),""),10)</f>
        <v>精选计划续投记录</v>
      </c>
      <c r="C74" s="24"/>
      <c r="D74" s="26" t="str">
        <f>LEFT(IFERROR(VLOOKUP(C74,数据表!C:D,2,0),""),10)</f>
        <v/>
      </c>
      <c r="E74" s="22"/>
      <c r="F74" s="27" t="str">
        <f>LEFT(IFERROR(VLOOKUP(E74,数据表!C:D,2,0),""),10)</f>
        <v/>
      </c>
      <c r="G74" s="31"/>
      <c r="H74" s="27" t="str">
        <f>LEFT(IFERROR(VLOOKUP(G74,数据表!C:D,2,0),""),10)</f>
        <v/>
      </c>
      <c r="I74" s="19"/>
    </row>
    <row r="75" spans="1:9" s="18" customFormat="1" ht="18" x14ac:dyDescent="0.35">
      <c r="A75" s="24" t="s">
        <v>371</v>
      </c>
      <c r="B75" s="26" t="str">
        <f>LEFT(IFERROR(VLOOKUP(A75,数据表!C:D,2,0),""),10)</f>
        <v>债权包购买历史记录表</v>
      </c>
      <c r="C75" s="24"/>
      <c r="D75" s="26" t="str">
        <f>LEFT(IFERROR(VLOOKUP(C75,数据表!C:D,2,0),""),10)</f>
        <v/>
      </c>
      <c r="E75" s="22"/>
      <c r="F75" s="27" t="str">
        <f>LEFT(IFERROR(VLOOKUP(E75,数据表!C:D,2,0),""),10)</f>
        <v/>
      </c>
      <c r="G75" s="31"/>
      <c r="H75" s="27" t="str">
        <f>LEFT(IFERROR(VLOOKUP(G75,数据表!C:D,2,0),""),10)</f>
        <v/>
      </c>
      <c r="I75" s="19"/>
    </row>
    <row r="76" spans="1:9" s="18" customFormat="1" ht="18" x14ac:dyDescent="0.35">
      <c r="A76" s="24"/>
      <c r="B76" s="26" t="str">
        <f>LEFT(IFERROR(VLOOKUP(A76,数据表!C:D,2,0),""),10)</f>
        <v/>
      </c>
      <c r="C76" s="24"/>
      <c r="D76" s="26" t="str">
        <f>LEFT(IFERROR(VLOOKUP(C76,数据表!C:D,2,0),""),10)</f>
        <v/>
      </c>
      <c r="E76" s="22"/>
      <c r="F76" s="27" t="str">
        <f>LEFT(IFERROR(VLOOKUP(E76,数据表!C:D,2,0),""),10)</f>
        <v/>
      </c>
      <c r="G76" s="31"/>
      <c r="H76" s="27" t="str">
        <f>LEFT(IFERROR(VLOOKUP(G76,数据表!C:D,2,0),""),10)</f>
        <v/>
      </c>
      <c r="I76" s="19"/>
    </row>
    <row r="77" spans="1:9" s="18" customFormat="1" ht="18" x14ac:dyDescent="0.35">
      <c r="A77" s="23" t="s">
        <v>1393</v>
      </c>
      <c r="B77" s="26" t="str">
        <f>LEFT(IFERROR(VLOOKUP(A77,数据表!C:D,2,0),""),10)</f>
        <v/>
      </c>
      <c r="C77" s="23"/>
      <c r="D77" s="26" t="str">
        <f>LEFT(IFERROR(VLOOKUP(C77,数据表!C:D,2,0),""),10)</f>
        <v/>
      </c>
      <c r="E77" s="21"/>
      <c r="F77" s="27" t="str">
        <f>LEFT(IFERROR(VLOOKUP(E77,数据表!C:D,2,0),""),10)</f>
        <v/>
      </c>
      <c r="G77" s="30" t="s">
        <v>1399</v>
      </c>
      <c r="H77" s="27" t="str">
        <f>LEFT(IFERROR(VLOOKUP(G77,数据表!C:D,2,0),""),10)</f>
        <v/>
      </c>
      <c r="I77" s="19"/>
    </row>
    <row r="78" spans="1:9" s="18" customFormat="1" ht="18" x14ac:dyDescent="0.35">
      <c r="A78" s="24" t="s">
        <v>418</v>
      </c>
      <c r="B78" s="26" t="str">
        <f>LEFT(IFERROR(VLOOKUP(A78,数据表!C:D,2,0),""),10)</f>
        <v>资金帐户表</v>
      </c>
      <c r="C78" s="24" t="s">
        <v>1116</v>
      </c>
      <c r="D78" s="26" t="str">
        <f>LEFT(IFERROR(VLOOKUP(C78,数据表!C:D,2,0),""),10)</f>
        <v>新的用户收益表</v>
      </c>
      <c r="E78" s="22"/>
      <c r="F78" s="27" t="str">
        <f>LEFT(IFERROR(VLOOKUP(E78,数据表!C:D,2,0),""),10)</f>
        <v/>
      </c>
      <c r="G78" s="31" t="s">
        <v>295</v>
      </c>
      <c r="H78" s="27" t="str">
        <f>LEFT(IFERROR(VLOOKUP(G78,数据表!C:D,2,0),""),10)</f>
        <v>会员委外催收 原表m</v>
      </c>
      <c r="I78" s="19"/>
    </row>
    <row r="79" spans="1:9" s="18" customFormat="1" ht="18" x14ac:dyDescent="0.35">
      <c r="A79" s="24" t="s">
        <v>448</v>
      </c>
      <c r="B79" s="26" t="str">
        <f>LEFT(IFERROR(VLOOKUP(A79,数据表!C:D,2,0),""),10)</f>
        <v>用户基金账户表</v>
      </c>
      <c r="C79" s="24" t="s">
        <v>1118</v>
      </c>
      <c r="D79" s="26" t="str">
        <f>LEFT(IFERROR(VLOOKUP(C79,数据表!C:D,2,0),""),10)</f>
        <v>收益详情，记录每笔投</v>
      </c>
      <c r="E79" s="22"/>
      <c r="F79" s="27" t="str">
        <f>LEFT(IFERROR(VLOOKUP(E79,数据表!C:D,2,0),""),10)</f>
        <v/>
      </c>
      <c r="G79" s="31" t="s">
        <v>237</v>
      </c>
      <c r="H79" s="27" t="str">
        <f>LEFT(IFERROR(VLOOKUP(G79,数据表!C:D,2,0),""),10)</f>
        <v>反欺诈黑灰名单库,用</v>
      </c>
      <c r="I79" s="19"/>
    </row>
    <row r="80" spans="1:9" s="18" customFormat="1" ht="18" x14ac:dyDescent="0.35">
      <c r="A80" s="24" t="s">
        <v>857</v>
      </c>
      <c r="B80" s="26" t="str">
        <f>LEFT(IFERROR(VLOOKUP(A80,数据表!C:D,2,0),""),10)</f>
        <v>精选账户表</v>
      </c>
      <c r="C80" s="24" t="s">
        <v>1263</v>
      </c>
      <c r="D80" s="26" t="str">
        <f>LEFT(IFERROR(VLOOKUP(C80,数据表!C:D,2,0),""),10)</f>
        <v>用户收益明细表</v>
      </c>
      <c r="E80" s="22"/>
      <c r="F80" s="27" t="str">
        <f>LEFT(IFERROR(VLOOKUP(E80,数据表!C:D,2,0),""),10)</f>
        <v/>
      </c>
      <c r="G80" s="31" t="s">
        <v>239</v>
      </c>
      <c r="H80" s="27" t="str">
        <f>LEFT(IFERROR(VLOOKUP(G80,数据表!C:D,2,0),""),10)</f>
        <v/>
      </c>
      <c r="I80" s="19"/>
    </row>
    <row r="81" spans="1:9" s="18" customFormat="1" ht="18" x14ac:dyDescent="0.35">
      <c r="A81" s="24" t="s">
        <v>425</v>
      </c>
      <c r="B81" s="26" t="str">
        <f>LEFT(IFERROR(VLOOKUP(A81,数据表!C:D,2,0),""),10)</f>
        <v>资金日志表</v>
      </c>
      <c r="C81" s="24" t="s">
        <v>1247</v>
      </c>
      <c r="D81" s="26" t="str">
        <f>LEFT(IFERROR(VLOOKUP(C81,数据表!C:D,2,0),""),10)</f>
        <v>账户余额资金流向信息</v>
      </c>
      <c r="E81" s="22"/>
      <c r="F81" s="27" t="str">
        <f>LEFT(IFERROR(VLOOKUP(E81,数据表!C:D,2,0),""),10)</f>
        <v/>
      </c>
      <c r="G81" s="31"/>
      <c r="H81" s="27" t="str">
        <f>LEFT(IFERROR(VLOOKUP(G81,数据表!C:D,2,0),""),10)</f>
        <v/>
      </c>
      <c r="I81" s="19"/>
    </row>
    <row r="82" spans="1:9" s="18" customFormat="1" ht="18" x14ac:dyDescent="0.35">
      <c r="A82" s="24" t="s">
        <v>428</v>
      </c>
      <c r="B82" s="26" t="str">
        <f>LEFT(IFERROR(VLOOKUP(A82,数据表!C:D,2,0),""),10)</f>
        <v>资金操作表</v>
      </c>
      <c r="C82" s="24"/>
      <c r="D82" s="26" t="str">
        <f>LEFT(IFERROR(VLOOKUP(C82,数据表!C:D,2,0),""),10)</f>
        <v/>
      </c>
      <c r="E82" s="22"/>
      <c r="F82" s="27" t="str">
        <f>LEFT(IFERROR(VLOOKUP(E82,数据表!C:D,2,0),""),10)</f>
        <v/>
      </c>
      <c r="G82" s="31"/>
      <c r="H82" s="27" t="str">
        <f>LEFT(IFERROR(VLOOKUP(G82,数据表!C:D,2,0),""),10)</f>
        <v/>
      </c>
      <c r="I82" s="19"/>
    </row>
    <row r="83" spans="1:9" s="18" customFormat="1" ht="18" x14ac:dyDescent="0.35">
      <c r="A83" s="24" t="s">
        <v>430</v>
      </c>
      <c r="B83" s="26" t="str">
        <f>LEFT(IFERROR(VLOOKUP(A83,数据表!C:D,2,0),""),10)</f>
        <v>资金操作映射表</v>
      </c>
      <c r="C83" s="24"/>
      <c r="D83" s="26" t="str">
        <f>LEFT(IFERROR(VLOOKUP(C83,数据表!C:D,2,0),""),10)</f>
        <v/>
      </c>
      <c r="E83" s="22"/>
      <c r="F83" s="27" t="str">
        <f>LEFT(IFERROR(VLOOKUP(E83,数据表!C:D,2,0),""),10)</f>
        <v/>
      </c>
      <c r="G83" s="31"/>
      <c r="H83" s="27" t="str">
        <f>LEFT(IFERROR(VLOOKUP(G83,数据表!C:D,2,0),""),10)</f>
        <v/>
      </c>
      <c r="I83" s="19"/>
    </row>
    <row r="84" spans="1:9" s="18" customFormat="1" ht="18" x14ac:dyDescent="0.35">
      <c r="A84" s="24" t="s">
        <v>445</v>
      </c>
      <c r="B84" s="26" t="str">
        <f>LEFT(IFERROR(VLOOKUP(A84,数据表!C:D,2,0),""),10)</f>
        <v>资金角色表</v>
      </c>
      <c r="C84" s="24"/>
      <c r="D84" s="26" t="str">
        <f>LEFT(IFERROR(VLOOKUP(C84,数据表!C:D,2,0),""),10)</f>
        <v/>
      </c>
      <c r="E84" s="22"/>
      <c r="F84" s="27" t="str">
        <f>LEFT(IFERROR(VLOOKUP(E84,数据表!C:D,2,0),""),10)</f>
        <v/>
      </c>
      <c r="G84" s="31"/>
      <c r="H84" s="27" t="str">
        <f>LEFT(IFERROR(VLOOKUP(G84,数据表!C:D,2,0),""),10)</f>
        <v/>
      </c>
      <c r="I84" s="19"/>
    </row>
    <row r="85" spans="1:9" s="18" customFormat="1" ht="18" x14ac:dyDescent="0.35">
      <c r="A85" s="24"/>
      <c r="B85" s="26" t="str">
        <f>LEFT(IFERROR(VLOOKUP(A85,数据表!C:D,2,0),""),10)</f>
        <v/>
      </c>
      <c r="C85" s="24"/>
      <c r="D85" s="26" t="str">
        <f>LEFT(IFERROR(VLOOKUP(C85,数据表!C:D,2,0),""),10)</f>
        <v/>
      </c>
      <c r="E85" s="22"/>
      <c r="F85" s="27" t="str">
        <f>LEFT(IFERROR(VLOOKUP(E85,数据表!C:D,2,0),""),10)</f>
        <v/>
      </c>
      <c r="G85" s="31"/>
      <c r="H85" s="27" t="str">
        <f>LEFT(IFERROR(VLOOKUP(G85,数据表!C:D,2,0),""),10)</f>
        <v/>
      </c>
      <c r="I85" s="19"/>
    </row>
    <row r="86" spans="1:9" s="18" customFormat="1" ht="18" x14ac:dyDescent="0.35">
      <c r="A86" s="24"/>
      <c r="B86" s="26" t="str">
        <f>LEFT(IFERROR(VLOOKUP(A86,数据表!C:D,2,0),""),10)</f>
        <v/>
      </c>
      <c r="C86" s="24"/>
      <c r="D86" s="26" t="str">
        <f>LEFT(IFERROR(VLOOKUP(C86,数据表!C:D,2,0),""),10)</f>
        <v/>
      </c>
      <c r="E86" s="22"/>
      <c r="F86" s="27" t="str">
        <f>LEFT(IFERROR(VLOOKUP(E86,数据表!C:D,2,0),""),10)</f>
        <v/>
      </c>
      <c r="G86" s="31"/>
      <c r="H86" s="27" t="str">
        <f>LEFT(IFERROR(VLOOKUP(G86,数据表!C:D,2,0),""),10)</f>
        <v/>
      </c>
      <c r="I86" s="19"/>
    </row>
    <row r="87" spans="1:9" s="18" customFormat="1" ht="18" x14ac:dyDescent="0.35">
      <c r="A87" s="23" t="s">
        <v>1394</v>
      </c>
      <c r="B87" s="26" t="str">
        <f>LEFT(IFERROR(VLOOKUP(A87,数据表!C:D,2,0),""),10)</f>
        <v/>
      </c>
      <c r="C87" s="23"/>
      <c r="D87" s="26" t="str">
        <f>LEFT(IFERROR(VLOOKUP(C87,数据表!C:D,2,0),""),10)</f>
        <v/>
      </c>
      <c r="E87" s="21"/>
      <c r="F87" s="27" t="str">
        <f>LEFT(IFERROR(VLOOKUP(E87,数据表!C:D,2,0),""),10)</f>
        <v/>
      </c>
      <c r="G87" s="31"/>
      <c r="H87" s="27" t="str">
        <f>LEFT(IFERROR(VLOOKUP(G87,数据表!C:D,2,0),""),10)</f>
        <v/>
      </c>
      <c r="I87" s="19"/>
    </row>
    <row r="88" spans="1:9" s="18" customFormat="1" ht="18" x14ac:dyDescent="0.35">
      <c r="A88" s="24" t="s">
        <v>1395</v>
      </c>
      <c r="B88" s="26" t="str">
        <f>LEFT(IFERROR(VLOOKUP(A88,数据表!C:D,2,0),""),10)</f>
        <v>精选账户表</v>
      </c>
      <c r="C88" s="24"/>
      <c r="D88" s="26" t="str">
        <f>LEFT(IFERROR(VLOOKUP(C88,数据表!C:D,2,0),""),10)</f>
        <v/>
      </c>
      <c r="E88" s="22"/>
      <c r="F88" s="27" t="str">
        <f>LEFT(IFERROR(VLOOKUP(E88,数据表!C:D,2,0),""),10)</f>
        <v/>
      </c>
      <c r="G88" s="31"/>
      <c r="H88" s="27" t="str">
        <f>LEFT(IFERROR(VLOOKUP(G88,数据表!C:D,2,0),""),10)</f>
        <v/>
      </c>
      <c r="I88" s="19"/>
    </row>
    <row r="89" spans="1:9" s="18" customFormat="1" ht="18" x14ac:dyDescent="0.35">
      <c r="A89" s="24" t="s">
        <v>459</v>
      </c>
      <c r="B89" s="26" t="str">
        <f>LEFT(IFERROR(VLOOKUP(A89,数据表!C:D,2,0),""),10)</f>
        <v>赎回表</v>
      </c>
      <c r="C89" s="24"/>
      <c r="D89" s="26" t="str">
        <f>LEFT(IFERROR(VLOOKUP(C89,数据表!C:D,2,0),""),10)</f>
        <v/>
      </c>
      <c r="E89" s="22"/>
      <c r="F89" s="27" t="str">
        <f>LEFT(IFERROR(VLOOKUP(E89,数据表!C:D,2,0),""),10)</f>
        <v/>
      </c>
      <c r="G89" s="31"/>
      <c r="H89" s="27" t="str">
        <f>LEFT(IFERROR(VLOOKUP(G89,数据表!C:D,2,0),""),10)</f>
        <v/>
      </c>
      <c r="I89" s="19"/>
    </row>
    <row r="90" spans="1:9" s="18" customFormat="1" ht="18" x14ac:dyDescent="0.35">
      <c r="A90" s="24" t="s">
        <v>249</v>
      </c>
      <c r="B90" s="26" t="str">
        <f>LEFT(IFERROR(VLOOKUP(A90,数据表!C:D,2,0),""),10)</f>
        <v>借出者收款表</v>
      </c>
      <c r="C90" s="24"/>
      <c r="D90" s="26" t="str">
        <f>LEFT(IFERROR(VLOOKUP(C90,数据表!C:D,2,0),""),10)</f>
        <v/>
      </c>
      <c r="E90" s="22"/>
      <c r="F90" s="27" t="str">
        <f>LEFT(IFERROR(VLOOKUP(E90,数据表!C:D,2,0),""),10)</f>
        <v/>
      </c>
      <c r="G90" s="31"/>
      <c r="H90" s="27" t="str">
        <f>LEFT(IFERROR(VLOOKUP(G90,数据表!C:D,2,0),""),10)</f>
        <v/>
      </c>
      <c r="I90" s="19"/>
    </row>
    <row r="91" spans="1:9" s="18" customFormat="1" ht="18" x14ac:dyDescent="0.35">
      <c r="A91" s="24" t="s">
        <v>364</v>
      </c>
      <c r="B91" s="26" t="str">
        <f>LEFT(IFERROR(VLOOKUP(A91,数据表!C:D,2,0),""),10)</f>
        <v>债转收款表（只支持e</v>
      </c>
      <c r="C91" s="24"/>
      <c r="D91" s="26" t="str">
        <f>LEFT(IFERROR(VLOOKUP(C91,数据表!C:D,2,0),""),10)</f>
        <v/>
      </c>
      <c r="E91" s="22"/>
      <c r="F91" s="27" t="str">
        <f>LEFT(IFERROR(VLOOKUP(E91,数据表!C:D,2,0),""),10)</f>
        <v/>
      </c>
      <c r="G91" s="31"/>
      <c r="H91" s="27" t="str">
        <f>LEFT(IFERROR(VLOOKUP(G91,数据表!C:D,2,0),""),10)</f>
        <v/>
      </c>
      <c r="I91" s="19"/>
    </row>
    <row r="92" spans="1:9" s="18" customFormat="1" ht="18" x14ac:dyDescent="0.35">
      <c r="A92" s="24"/>
      <c r="B92" s="26" t="str">
        <f>LEFT(IFERROR(VLOOKUP(A92,数据表!C:D,2,0),""),10)</f>
        <v/>
      </c>
      <c r="C92" s="24"/>
      <c r="D92" s="26" t="str">
        <f>LEFT(IFERROR(VLOOKUP(C92,数据表!C:D,2,0),""),10)</f>
        <v/>
      </c>
      <c r="E92" s="22"/>
      <c r="F92" s="27" t="str">
        <f>LEFT(IFERROR(VLOOKUP(E92,数据表!C:D,2,0),""),10)</f>
        <v/>
      </c>
      <c r="G92" s="31"/>
      <c r="H92" s="27" t="str">
        <f>LEFT(IFERROR(VLOOKUP(G92,数据表!C:D,2,0),""),10)</f>
        <v/>
      </c>
      <c r="I92" s="19"/>
    </row>
    <row r="93" spans="1:9" s="18" customFormat="1" ht="18" x14ac:dyDescent="0.35">
      <c r="A93" s="24"/>
      <c r="B93" s="26" t="str">
        <f>LEFT(IFERROR(VLOOKUP(A93,数据表!C:D,2,0),""),10)</f>
        <v/>
      </c>
      <c r="C93" s="24"/>
      <c r="D93" s="26" t="str">
        <f>LEFT(IFERROR(VLOOKUP(C93,数据表!C:D,2,0),""),10)</f>
        <v/>
      </c>
      <c r="E93" s="22"/>
      <c r="F93" s="27" t="str">
        <f>LEFT(IFERROR(VLOOKUP(E93,数据表!C:D,2,0),""),10)</f>
        <v/>
      </c>
      <c r="G93" s="31"/>
      <c r="H93" s="27" t="str">
        <f>LEFT(IFERROR(VLOOKUP(G93,数据表!C:D,2,0),""),10)</f>
        <v/>
      </c>
      <c r="I93" s="19"/>
    </row>
    <row r="94" spans="1:9" s="18" customFormat="1" ht="18" x14ac:dyDescent="0.35">
      <c r="A94" s="23" t="s">
        <v>1346</v>
      </c>
      <c r="B94" s="26" t="str">
        <f>LEFT(IFERROR(VLOOKUP(A94,数据表!C:D,2,0),""),10)</f>
        <v/>
      </c>
      <c r="C94" s="23"/>
      <c r="D94" s="26" t="str">
        <f>LEFT(IFERROR(VLOOKUP(C94,数据表!C:D,2,0),""),10)</f>
        <v/>
      </c>
      <c r="E94" s="21"/>
      <c r="F94" s="27" t="str">
        <f>LEFT(IFERROR(VLOOKUP(E94,数据表!C:D,2,0),""),10)</f>
        <v/>
      </c>
      <c r="G94" s="31"/>
      <c r="H94" s="27" t="str">
        <f>LEFT(IFERROR(VLOOKUP(G94,数据表!C:D,2,0),""),10)</f>
        <v/>
      </c>
      <c r="I94" s="19"/>
    </row>
    <row r="95" spans="1:9" s="18" customFormat="1" ht="18" x14ac:dyDescent="0.35">
      <c r="A95" s="24" t="s">
        <v>885</v>
      </c>
      <c r="B95" s="26" t="str">
        <f>LEFT(IFERROR(VLOOKUP(A95,数据表!C:D,2,0),""),10)</f>
        <v>提现申请表</v>
      </c>
      <c r="C95" s="24" t="s">
        <v>1294</v>
      </c>
      <c r="D95" s="26" t="str">
        <f>LEFT(IFERROR(VLOOKUP(C95,数据表!C:D,2,0),""),10)</f>
        <v>用户提现日志信息管理</v>
      </c>
      <c r="E95" s="22"/>
      <c r="F95" s="27" t="str">
        <f>LEFT(IFERROR(VLOOKUP(E95,数据表!C:D,2,0),""),10)</f>
        <v/>
      </c>
      <c r="G95" s="31"/>
      <c r="H95" s="27" t="str">
        <f>LEFT(IFERROR(VLOOKUP(G95,数据表!C:D,2,0),""),10)</f>
        <v/>
      </c>
      <c r="I95" s="19"/>
    </row>
    <row r="96" spans="1:9" s="18" customFormat="1" ht="18" x14ac:dyDescent="0.35">
      <c r="A96" s="24" t="s">
        <v>887</v>
      </c>
      <c r="B96" s="26" t="str">
        <f>LEFT(IFERROR(VLOOKUP(A96,数据表!C:D,2,0),""),10)</f>
        <v>支付宝提现表</v>
      </c>
      <c r="C96" s="24" t="s">
        <v>1313</v>
      </c>
      <c r="D96" s="26" t="str">
        <f>LEFT(IFERROR(VLOOKUP(C96,数据表!C:D,2,0),""),10)</f>
        <v/>
      </c>
      <c r="E96" s="22"/>
      <c r="F96" s="27" t="str">
        <f>LEFT(IFERROR(VLOOKUP(E96,数据表!C:D,2,0),""),10)</f>
        <v/>
      </c>
      <c r="G96" s="31"/>
      <c r="H96" s="27" t="str">
        <f>LEFT(IFERROR(VLOOKUP(G96,数据表!C:D,2,0),""),10)</f>
        <v/>
      </c>
      <c r="I96" s="19"/>
    </row>
    <row r="97" spans="1:9" s="18" customFormat="1" ht="18" x14ac:dyDescent="0.35">
      <c r="A97" s="24"/>
      <c r="B97" s="26" t="str">
        <f>LEFT(IFERROR(VLOOKUP(A97,数据表!C:D,2,0),""),10)</f>
        <v/>
      </c>
      <c r="C97" s="24"/>
      <c r="D97" s="26" t="str">
        <f>LEFT(IFERROR(VLOOKUP(C97,数据表!C:D,2,0),""),10)</f>
        <v/>
      </c>
      <c r="E97" s="22"/>
      <c r="F97" s="27" t="str">
        <f>LEFT(IFERROR(VLOOKUP(E97,数据表!C:D,2,0),""),10)</f>
        <v/>
      </c>
      <c r="G97" s="31"/>
      <c r="H97" s="27" t="str">
        <f>LEFT(IFERROR(VLOOKUP(G97,数据表!C:D,2,0),""),10)</f>
        <v/>
      </c>
      <c r="I97" s="19"/>
    </row>
    <row r="98" spans="1:9" s="18" customFormat="1" ht="18" x14ac:dyDescent="0.35">
      <c r="A98" s="23" t="s">
        <v>1412</v>
      </c>
      <c r="B98" s="26" t="str">
        <f>LEFT(IFERROR(VLOOKUP(A98,数据表!C:D,2,0),""),10)</f>
        <v/>
      </c>
      <c r="C98" s="23"/>
      <c r="D98" s="26" t="str">
        <f>LEFT(IFERROR(VLOOKUP(C98,数据表!C:D,2,0),""),10)</f>
        <v/>
      </c>
      <c r="E98" s="21"/>
      <c r="F98" s="27" t="str">
        <f>LEFT(IFERROR(VLOOKUP(E98,数据表!C:D,2,0),""),10)</f>
        <v/>
      </c>
      <c r="G98" s="31"/>
      <c r="H98" s="27" t="str">
        <f>LEFT(IFERROR(VLOOKUP(G98,数据表!C:D,2,0),""),10)</f>
        <v/>
      </c>
      <c r="I98" s="19"/>
    </row>
    <row r="99" spans="1:9" s="18" customFormat="1" ht="18" x14ac:dyDescent="0.35">
      <c r="A99" s="24" t="s">
        <v>216</v>
      </c>
      <c r="B99" s="26" t="str">
        <f>LEFT(IFERROR(VLOOKUP(A99,数据表!C:D,2,0),""),10)</f>
        <v>镑客码 对应原数据库</v>
      </c>
      <c r="C99" s="24"/>
      <c r="D99" s="26" t="str">
        <f>LEFT(IFERROR(VLOOKUP(C99,数据表!C:D,2,0),""),10)</f>
        <v/>
      </c>
      <c r="E99" s="22"/>
      <c r="F99" s="27" t="str">
        <f>LEFT(IFERROR(VLOOKUP(E99,数据表!C:D,2,0),""),10)</f>
        <v/>
      </c>
      <c r="G99" s="31"/>
      <c r="H99" s="27" t="str">
        <f>LEFT(IFERROR(VLOOKUP(G99,数据表!C:D,2,0),""),10)</f>
        <v/>
      </c>
      <c r="I99" s="19"/>
    </row>
    <row r="100" spans="1:9" s="18" customFormat="1" ht="18" x14ac:dyDescent="0.35">
      <c r="A100" s="24" t="s">
        <v>346</v>
      </c>
      <c r="B100" s="26" t="str">
        <f>LEFT(IFERROR(VLOOKUP(A100,数据表!C:D,2,0),""),10)</f>
        <v>券的使用情况，原表i</v>
      </c>
      <c r="C100" s="24"/>
      <c r="D100" s="26" t="str">
        <f>LEFT(IFERROR(VLOOKUP(C100,数据表!C:D,2,0),""),10)</f>
        <v/>
      </c>
      <c r="E100" s="22"/>
      <c r="F100" s="27" t="str">
        <f>LEFT(IFERROR(VLOOKUP(E100,数据表!C:D,2,0),""),10)</f>
        <v/>
      </c>
      <c r="G100" s="31"/>
      <c r="H100" s="27" t="str">
        <f>LEFT(IFERROR(VLOOKUP(G100,数据表!C:D,2,0),""),10)</f>
        <v/>
      </c>
      <c r="I100" s="19"/>
    </row>
    <row r="101" spans="1:9" s="18" customFormat="1" ht="18" x14ac:dyDescent="0.35">
      <c r="A101" s="24" t="s">
        <v>691</v>
      </c>
      <c r="B101" s="26" t="str">
        <f>LEFT(IFERROR(VLOOKUP(A101,数据表!C:D,2,0),""),10)</f>
        <v>unifi使用的减息</v>
      </c>
      <c r="C101" s="24"/>
      <c r="D101" s="26" t="str">
        <f>LEFT(IFERROR(VLOOKUP(C101,数据表!C:D,2,0),""),10)</f>
        <v/>
      </c>
      <c r="E101" s="22"/>
      <c r="F101" s="27" t="str">
        <f>LEFT(IFERROR(VLOOKUP(E101,数据表!C:D,2,0),""),10)</f>
        <v/>
      </c>
      <c r="G101" s="31"/>
      <c r="H101" s="27" t="str">
        <f>LEFT(IFERROR(VLOOKUP(G101,数据表!C:D,2,0),""),10)</f>
        <v/>
      </c>
      <c r="I101" s="19"/>
    </row>
    <row r="102" spans="1:9" s="18" customFormat="1" ht="18" x14ac:dyDescent="0.35">
      <c r="A102" s="24" t="s">
        <v>703</v>
      </c>
      <c r="B102" s="26" t="str">
        <f>LEFT(IFERROR(VLOOKUP(A102,数据表!C:D,2,0),""),10)</f>
        <v>减息券</v>
      </c>
      <c r="C102" s="24"/>
      <c r="D102" s="26" t="str">
        <f>LEFT(IFERROR(VLOOKUP(C102,数据表!C:D,2,0),""),10)</f>
        <v/>
      </c>
      <c r="E102" s="22"/>
      <c r="F102" s="27" t="str">
        <f>LEFT(IFERROR(VLOOKUP(E102,数据表!C:D,2,0),""),10)</f>
        <v/>
      </c>
      <c r="G102" s="31"/>
      <c r="H102" s="27" t="str">
        <f>LEFT(IFERROR(VLOOKUP(G102,数据表!C:D,2,0),""),10)</f>
        <v/>
      </c>
      <c r="I102" s="19"/>
    </row>
    <row r="103" spans="1:9" s="18" customFormat="1" ht="18" x14ac:dyDescent="0.35">
      <c r="A103" s="24" t="s">
        <v>737</v>
      </c>
      <c r="B103" s="26" t="str">
        <f>LEFT(IFERROR(VLOOKUP(A103,数据表!C:D,2,0),""),10)</f>
        <v>现金券/加息券发放、</v>
      </c>
      <c r="C103" s="24" t="s">
        <v>737</v>
      </c>
      <c r="D103" s="26" t="str">
        <f>LEFT(IFERROR(VLOOKUP(C103,数据表!C:D,2,0),""),10)</f>
        <v>现金券/加息券发放、</v>
      </c>
      <c r="E103" s="22"/>
      <c r="F103" s="27" t="str">
        <f>LEFT(IFERROR(VLOOKUP(E103,数据表!C:D,2,0),""),10)</f>
        <v/>
      </c>
      <c r="G103" s="31"/>
      <c r="H103" s="27" t="str">
        <f>LEFT(IFERROR(VLOOKUP(G103,数据表!C:D,2,0),""),10)</f>
        <v/>
      </c>
      <c r="I103" s="19"/>
    </row>
    <row r="104" spans="1:9" s="18" customFormat="1" ht="18" x14ac:dyDescent="0.35">
      <c r="A104" s="24" t="s">
        <v>773</v>
      </c>
      <c r="B104" s="26" t="str">
        <f>LEFT(IFERROR(VLOOKUP(A104,数据表!C:D,2,0),""),10)</f>
        <v>名校贷还款券</v>
      </c>
      <c r="C104" s="24" t="s">
        <v>1305</v>
      </c>
      <c r="D104" s="26" t="str">
        <f>LEFT(IFERROR(VLOOKUP(C104,数据表!C:D,2,0),""),10)</f>
        <v/>
      </c>
      <c r="E104" s="22"/>
      <c r="F104" s="27" t="str">
        <f>LEFT(IFERROR(VLOOKUP(E104,数据表!C:D,2,0),""),10)</f>
        <v/>
      </c>
      <c r="G104" s="31"/>
      <c r="H104" s="27" t="str">
        <f>LEFT(IFERROR(VLOOKUP(G104,数据表!C:D,2,0),""),10)</f>
        <v/>
      </c>
      <c r="I104" s="19"/>
    </row>
    <row r="105" spans="1:9" s="18" customFormat="1" ht="18" x14ac:dyDescent="0.35">
      <c r="A105" s="24" t="s">
        <v>753</v>
      </c>
      <c r="B105" s="26" t="str">
        <f>LEFT(IFERROR(VLOOKUP(A105,数据表!C:D,2,0),""),10)</f>
        <v>用户体验金</v>
      </c>
      <c r="C105" s="24" t="s">
        <v>1306</v>
      </c>
      <c r="D105" s="26" t="str">
        <f>LEFT(IFERROR(VLOOKUP(C105,数据表!C:D,2,0),""),10)</f>
        <v/>
      </c>
      <c r="E105" s="22"/>
      <c r="F105" s="27" t="str">
        <f>LEFT(IFERROR(VLOOKUP(E105,数据表!C:D,2,0),""),10)</f>
        <v/>
      </c>
      <c r="G105" s="31"/>
      <c r="H105" s="27" t="str">
        <f>LEFT(IFERROR(VLOOKUP(G105,数据表!C:D,2,0),""),10)</f>
        <v/>
      </c>
      <c r="I105" s="19"/>
    </row>
    <row r="106" spans="1:9" s="18" customFormat="1" ht="18" x14ac:dyDescent="0.35">
      <c r="A106" s="24" t="s">
        <v>758</v>
      </c>
      <c r="B106" s="26" t="str">
        <f>LEFT(IFERROR(VLOOKUP(A106,数据表!C:D,2,0),""),10)</f>
        <v>用户体验金收益发放</v>
      </c>
      <c r="C106" s="24"/>
      <c r="D106" s="26" t="str">
        <f>LEFT(IFERROR(VLOOKUP(C106,数据表!C:D,2,0),""),10)</f>
        <v/>
      </c>
      <c r="E106" s="22"/>
      <c r="F106" s="27" t="str">
        <f>LEFT(IFERROR(VLOOKUP(E106,数据表!C:D,2,0),""),10)</f>
        <v/>
      </c>
      <c r="G106" s="31"/>
      <c r="H106" s="27" t="str">
        <f>LEFT(IFERROR(VLOOKUP(G106,数据表!C:D,2,0),""),10)</f>
        <v/>
      </c>
      <c r="I106" s="19"/>
    </row>
    <row r="107" spans="1:9" s="18" customFormat="1" ht="18" x14ac:dyDescent="0.35">
      <c r="A107" s="24"/>
      <c r="B107" s="26" t="str">
        <f>LEFT(IFERROR(VLOOKUP(A107,数据表!C:D,2,0),""),10)</f>
        <v/>
      </c>
      <c r="C107" s="24"/>
      <c r="D107" s="26" t="str">
        <f>LEFT(IFERROR(VLOOKUP(C107,数据表!C:D,2,0),""),10)</f>
        <v/>
      </c>
      <c r="E107" s="22"/>
      <c r="F107" s="27" t="str">
        <f>LEFT(IFERROR(VLOOKUP(E107,数据表!C:D,2,0),""),10)</f>
        <v/>
      </c>
      <c r="G107" s="31"/>
      <c r="H107" s="27" t="str">
        <f>LEFT(IFERROR(VLOOKUP(G107,数据表!C:D,2,0),""),10)</f>
        <v/>
      </c>
      <c r="I107" s="19"/>
    </row>
    <row r="108" spans="1:9" s="18" customFormat="1" ht="18" x14ac:dyDescent="0.35">
      <c r="A108" s="23" t="s">
        <v>1413</v>
      </c>
      <c r="B108" s="26" t="str">
        <f>LEFT(IFERROR(VLOOKUP(A108,数据表!C:D,2,0),""),10)</f>
        <v/>
      </c>
      <c r="C108" s="23"/>
      <c r="D108" s="26" t="str">
        <f>LEFT(IFERROR(VLOOKUP(C108,数据表!C:D,2,0),""),10)</f>
        <v/>
      </c>
      <c r="E108" s="21"/>
      <c r="F108" s="27" t="str">
        <f>LEFT(IFERROR(VLOOKUP(E108,数据表!C:D,2,0),""),10)</f>
        <v/>
      </c>
      <c r="G108" s="31"/>
      <c r="H108" s="27" t="str">
        <f>LEFT(IFERROR(VLOOKUP(G108,数据表!C:D,2,0),""),10)</f>
        <v/>
      </c>
      <c r="I108" s="19"/>
    </row>
    <row r="109" spans="1:9" s="18" customFormat="1" ht="18" x14ac:dyDescent="0.35">
      <c r="A109" s="24" t="s">
        <v>121</v>
      </c>
      <c r="B109" s="26" t="str">
        <f>LEFT(IFERROR(VLOOKUP(A109,数据表!C:D,2,0),""),10)</f>
        <v>超镑活动表原表名：c</v>
      </c>
      <c r="C109" s="24" t="s">
        <v>1028</v>
      </c>
      <c r="D109" s="26" t="str">
        <f>LEFT(IFERROR(VLOOKUP(C109,数据表!C:D,2,0),""),10)</f>
        <v/>
      </c>
      <c r="E109" s="22"/>
      <c r="F109" s="27" t="str">
        <f>LEFT(IFERROR(VLOOKUP(E109,数据表!C:D,2,0),""),10)</f>
        <v/>
      </c>
      <c r="G109" s="31"/>
      <c r="H109" s="27" t="str">
        <f>LEFT(IFERROR(VLOOKUP(G109,数据表!C:D,2,0),""),10)</f>
        <v/>
      </c>
      <c r="I109" s="19"/>
    </row>
    <row r="110" spans="1:9" s="18" customFormat="1" ht="18" x14ac:dyDescent="0.35">
      <c r="A110" s="24" t="s">
        <v>123</v>
      </c>
      <c r="B110" s="26" t="str">
        <f>LEFT(IFERROR(VLOOKUP(A110,数据表!C:D,2,0),""),10)</f>
        <v>超镑标签表原表名：c</v>
      </c>
      <c r="C110" s="24" t="s">
        <v>1030</v>
      </c>
      <c r="D110" s="26" t="str">
        <f>LEFT(IFERROR(VLOOKUP(C110,数据表!C:D,2,0),""),10)</f>
        <v/>
      </c>
      <c r="E110" s="22"/>
      <c r="F110" s="27" t="str">
        <f>LEFT(IFERROR(VLOOKUP(E110,数据表!C:D,2,0),""),10)</f>
        <v/>
      </c>
      <c r="G110" s="31"/>
      <c r="H110" s="27" t="str">
        <f>LEFT(IFERROR(VLOOKUP(G110,数据表!C:D,2,0),""),10)</f>
        <v/>
      </c>
      <c r="I110" s="19"/>
    </row>
    <row r="111" spans="1:9" s="18" customFormat="1" ht="18" x14ac:dyDescent="0.35">
      <c r="A111" s="24" t="s">
        <v>125</v>
      </c>
      <c r="B111" s="26" t="str">
        <f>LEFT(IFERROR(VLOOKUP(A111,数据表!C:D,2,0),""),10)</f>
        <v>超镑实物奖表原表名：</v>
      </c>
      <c r="C111" s="24" t="s">
        <v>1034</v>
      </c>
      <c r="D111" s="26" t="str">
        <f>LEFT(IFERROR(VLOOKUP(C111,数据表!C:D,2,0),""),10)</f>
        <v>用户奖励统计表</v>
      </c>
      <c r="E111" s="22"/>
      <c r="F111" s="27" t="str">
        <f>LEFT(IFERROR(VLOOKUP(E111,数据表!C:D,2,0),""),10)</f>
        <v/>
      </c>
      <c r="G111" s="31"/>
      <c r="H111" s="27" t="str">
        <f>LEFT(IFERROR(VLOOKUP(G111,数据表!C:D,2,0),""),10)</f>
        <v/>
      </c>
      <c r="I111" s="19"/>
    </row>
    <row r="112" spans="1:9" s="18" customFormat="1" ht="18" x14ac:dyDescent="0.35">
      <c r="A112" s="24" t="s">
        <v>127</v>
      </c>
      <c r="B112" s="26" t="str">
        <f>LEFT(IFERROR(VLOOKUP(A112,数据表!C:D,2,0),""),10)</f>
        <v>超镑实物奖详情表原表</v>
      </c>
      <c r="C112" s="24" t="s">
        <v>1036</v>
      </c>
      <c r="D112" s="26" t="str">
        <f>LEFT(IFERROR(VLOOKUP(C112,数据表!C:D,2,0),""),10)</f>
        <v>用户奖励明细表</v>
      </c>
      <c r="E112" s="22"/>
      <c r="F112" s="27" t="str">
        <f>LEFT(IFERROR(VLOOKUP(E112,数据表!C:D,2,0),""),10)</f>
        <v/>
      </c>
      <c r="G112" s="31"/>
      <c r="H112" s="27" t="str">
        <f>LEFT(IFERROR(VLOOKUP(G112,数据表!C:D,2,0),""),10)</f>
        <v/>
      </c>
      <c r="I112" s="19"/>
    </row>
    <row r="113" spans="1:9" s="18" customFormat="1" ht="18" x14ac:dyDescent="0.35">
      <c r="A113" s="24" t="s">
        <v>129</v>
      </c>
      <c r="B113" s="26" t="str">
        <f>LEFT(IFERROR(VLOOKUP(A113,数据表!C:D,2,0),""),10)</f>
        <v>商品点赞日志</v>
      </c>
      <c r="C113" s="24" t="s">
        <v>1185</v>
      </c>
      <c r="D113" s="26" t="str">
        <f>LEFT(IFERROR(VLOOKUP(C113,数据表!C:D,2,0),""),10)</f>
        <v/>
      </c>
      <c r="E113" s="22"/>
      <c r="F113" s="27" t="str">
        <f>LEFT(IFERROR(VLOOKUP(E113,数据表!C:D,2,0),""),10)</f>
        <v/>
      </c>
      <c r="G113" s="31"/>
      <c r="H113" s="27" t="str">
        <f>LEFT(IFERROR(VLOOKUP(G113,数据表!C:D,2,0),""),10)</f>
        <v/>
      </c>
      <c r="I113" s="19"/>
    </row>
    <row r="114" spans="1:9" s="18" customFormat="1" ht="18" x14ac:dyDescent="0.35">
      <c r="A114" s="24" t="s">
        <v>135</v>
      </c>
      <c r="B114" s="26" t="str">
        <f>LEFT(IFERROR(VLOOKUP(A114,数据表!C:D,2,0),""),10)</f>
        <v>超镑虚拟奖品表原表名</v>
      </c>
      <c r="C114" s="24" t="s">
        <v>1186</v>
      </c>
      <c r="D114" s="26" t="str">
        <f>LEFT(IFERROR(VLOOKUP(C114,数据表!C:D,2,0),""),10)</f>
        <v/>
      </c>
      <c r="E114" s="22"/>
      <c r="F114" s="27" t="str">
        <f>LEFT(IFERROR(VLOOKUP(E114,数据表!C:D,2,0),""),10)</f>
        <v/>
      </c>
      <c r="G114" s="31"/>
      <c r="H114" s="27" t="str">
        <f>LEFT(IFERROR(VLOOKUP(G114,数据表!C:D,2,0),""),10)</f>
        <v/>
      </c>
      <c r="I114" s="19"/>
    </row>
    <row r="115" spans="1:9" s="18" customFormat="1" ht="18" x14ac:dyDescent="0.35">
      <c r="A115" s="24" t="s">
        <v>87</v>
      </c>
      <c r="B115" s="26" t="str">
        <f>LEFT(IFERROR(VLOOKUP(A115,数据表!C:D,2,0),""),10)</f>
        <v/>
      </c>
      <c r="C115" s="24" t="s">
        <v>1187</v>
      </c>
      <c r="D115" s="26" t="str">
        <f>LEFT(IFERROR(VLOOKUP(C115,数据表!C:D,2,0),""),10)</f>
        <v/>
      </c>
      <c r="E115" s="22"/>
      <c r="F115" s="27" t="str">
        <f>LEFT(IFERROR(VLOOKUP(E115,数据表!C:D,2,0),""),10)</f>
        <v/>
      </c>
      <c r="G115" s="31"/>
      <c r="H115" s="27" t="str">
        <f>LEFT(IFERROR(VLOOKUP(G115,数据表!C:D,2,0),""),10)</f>
        <v/>
      </c>
      <c r="I115" s="19"/>
    </row>
    <row r="116" spans="1:9" s="18" customFormat="1" ht="18" x14ac:dyDescent="0.35">
      <c r="A116" s="24" t="s">
        <v>89</v>
      </c>
      <c r="B116" s="26" t="str">
        <f>LEFT(IFERROR(VLOOKUP(A116,数据表!C:D,2,0),""),10)</f>
        <v/>
      </c>
      <c r="C116" s="24" t="s">
        <v>1188</v>
      </c>
      <c r="D116" s="26" t="str">
        <f>LEFT(IFERROR(VLOOKUP(C116,数据表!C:D,2,0),""),10)</f>
        <v/>
      </c>
      <c r="E116" s="22"/>
      <c r="F116" s="27" t="str">
        <f>LEFT(IFERROR(VLOOKUP(E116,数据表!C:D,2,0),""),10)</f>
        <v/>
      </c>
      <c r="G116" s="31"/>
      <c r="H116" s="27" t="str">
        <f>LEFT(IFERROR(VLOOKUP(G116,数据表!C:D,2,0),""),10)</f>
        <v/>
      </c>
      <c r="I116" s="19"/>
    </row>
    <row r="117" spans="1:9" s="18" customFormat="1" ht="18" x14ac:dyDescent="0.35">
      <c r="A117" s="24" t="s">
        <v>91</v>
      </c>
      <c r="B117" s="26" t="str">
        <f>LEFT(IFERROR(VLOOKUP(A117,数据表!C:D,2,0),""),10)</f>
        <v>活动送礼表</v>
      </c>
      <c r="C117" s="24" t="s">
        <v>1189</v>
      </c>
      <c r="D117" s="26" t="str">
        <f>LEFT(IFERROR(VLOOKUP(C117,数据表!C:D,2,0),""),10)</f>
        <v/>
      </c>
      <c r="E117" s="22"/>
      <c r="F117" s="27" t="str">
        <f>LEFT(IFERROR(VLOOKUP(E117,数据表!C:D,2,0),""),10)</f>
        <v/>
      </c>
      <c r="G117" s="31"/>
      <c r="H117" s="27" t="str">
        <f>LEFT(IFERROR(VLOOKUP(G117,数据表!C:D,2,0),""),10)</f>
        <v/>
      </c>
      <c r="I117" s="19"/>
    </row>
    <row r="118" spans="1:9" s="18" customFormat="1" ht="18" x14ac:dyDescent="0.35">
      <c r="A118" s="24"/>
      <c r="B118" s="26" t="str">
        <f>LEFT(IFERROR(VLOOKUP(A118,数据表!C:D,2,0),""),10)</f>
        <v/>
      </c>
      <c r="C118" s="24" t="s">
        <v>1193</v>
      </c>
      <c r="D118" s="26" t="str">
        <f>LEFT(IFERROR(VLOOKUP(C118,数据表!C:D,2,0),""),10)</f>
        <v>奖品定义表</v>
      </c>
      <c r="E118" s="22"/>
      <c r="F118" s="27" t="str">
        <f>LEFT(IFERROR(VLOOKUP(E118,数据表!C:D,2,0),""),10)</f>
        <v/>
      </c>
      <c r="G118" s="31"/>
      <c r="H118" s="27" t="str">
        <f>LEFT(IFERROR(VLOOKUP(G118,数据表!C:D,2,0),""),10)</f>
        <v/>
      </c>
      <c r="I118" s="19"/>
    </row>
    <row r="119" spans="1:9" s="18" customFormat="1" ht="18" x14ac:dyDescent="0.35">
      <c r="A119" s="24"/>
      <c r="B119" s="26" t="str">
        <f>LEFT(IFERROR(VLOOKUP(A119,数据表!C:D,2,0),""),10)</f>
        <v/>
      </c>
      <c r="C119" s="24" t="s">
        <v>1283</v>
      </c>
      <c r="D119" s="26" t="str">
        <f>LEFT(IFERROR(VLOOKUP(C119,数据表!C:D,2,0),""),10)</f>
        <v>大转盘抽奖活动记录</v>
      </c>
      <c r="E119" s="22"/>
      <c r="F119" s="27" t="str">
        <f>LEFT(IFERROR(VLOOKUP(E119,数据表!C:D,2,0),""),10)</f>
        <v/>
      </c>
      <c r="G119" s="31"/>
      <c r="H119" s="27" t="str">
        <f>LEFT(IFERROR(VLOOKUP(G119,数据表!C:D,2,0),""),10)</f>
        <v/>
      </c>
      <c r="I119" s="19"/>
    </row>
    <row r="120" spans="1:9" s="18" customFormat="1" ht="18" x14ac:dyDescent="0.35">
      <c r="A120" s="24"/>
      <c r="B120" s="26" t="str">
        <f>LEFT(IFERROR(VLOOKUP(A120,数据表!C:D,2,0),""),10)</f>
        <v/>
      </c>
      <c r="C120" s="24" t="s">
        <v>1288</v>
      </c>
      <c r="D120" s="26" t="str">
        <f>LEFT(IFERROR(VLOOKUP(C120,数据表!C:D,2,0),""),10)</f>
        <v>大转盘抽奖活动记录日</v>
      </c>
      <c r="E120" s="22"/>
      <c r="F120" s="27" t="str">
        <f>LEFT(IFERROR(VLOOKUP(E120,数据表!C:D,2,0),""),10)</f>
        <v/>
      </c>
      <c r="G120" s="31"/>
      <c r="H120" s="27" t="str">
        <f>LEFT(IFERROR(VLOOKUP(G120,数据表!C:D,2,0),""),10)</f>
        <v/>
      </c>
      <c r="I120" s="19"/>
    </row>
    <row r="121" spans="1:9" s="18" customFormat="1" ht="18" x14ac:dyDescent="0.35">
      <c r="A121" s="24"/>
      <c r="B121" s="26" t="str">
        <f>LEFT(IFERROR(VLOOKUP(A121,数据表!C:D,2,0),""),10)</f>
        <v/>
      </c>
      <c r="C121" s="24"/>
      <c r="D121" s="26" t="str">
        <f>LEFT(IFERROR(VLOOKUP(C121,数据表!C:D,2,0),""),10)</f>
        <v/>
      </c>
      <c r="E121" s="22"/>
      <c r="F121" s="27" t="str">
        <f>LEFT(IFERROR(VLOOKUP(E121,数据表!C:D,2,0),""),10)</f>
        <v/>
      </c>
      <c r="G121" s="31"/>
      <c r="H121" s="27" t="str">
        <f>LEFT(IFERROR(VLOOKUP(G121,数据表!C:D,2,0),""),10)</f>
        <v/>
      </c>
      <c r="I121" s="19"/>
    </row>
    <row r="122" spans="1:9" s="18" customFormat="1" ht="18" x14ac:dyDescent="0.35">
      <c r="A122" s="23" t="s">
        <v>1427</v>
      </c>
      <c r="B122" s="26" t="str">
        <f>LEFT(IFERROR(VLOOKUP(A122,数据表!C:D,2,0),""),10)</f>
        <v/>
      </c>
      <c r="C122" s="23"/>
      <c r="D122" s="26" t="str">
        <f>LEFT(IFERROR(VLOOKUP(C122,数据表!C:D,2,0),""),10)</f>
        <v/>
      </c>
      <c r="E122" s="21"/>
      <c r="F122" s="27" t="str">
        <f>LEFT(IFERROR(VLOOKUP(E122,数据表!C:D,2,0),""),10)</f>
        <v/>
      </c>
      <c r="G122" s="31"/>
      <c r="H122" s="27" t="str">
        <f>LEFT(IFERROR(VLOOKUP(G122,数据表!C:D,2,0),""),10)</f>
        <v/>
      </c>
      <c r="I122" s="19"/>
    </row>
    <row r="123" spans="1:9" s="18" customFormat="1" ht="18" x14ac:dyDescent="0.35">
      <c r="A123" s="24" t="s">
        <v>327</v>
      </c>
      <c r="B123" s="26" t="str">
        <f>LEFT(IFERROR(VLOOKUP(A123,数据表!C:D,2,0),""),10)</f>
        <v xml:space="preserve">诺币发送使用日志表 </v>
      </c>
      <c r="C123" s="24" t="s">
        <v>1156</v>
      </c>
      <c r="D123" s="26" t="str">
        <f>LEFT(IFERROR(VLOOKUP(C123,数据表!C:D,2,0),""),10)</f>
        <v>积分消耗明细表</v>
      </c>
      <c r="E123" s="22"/>
      <c r="F123" s="27" t="str">
        <f>LEFT(IFERROR(VLOOKUP(E123,数据表!C:D,2,0),""),10)</f>
        <v/>
      </c>
      <c r="G123" s="31"/>
      <c r="H123" s="27" t="str">
        <f>LEFT(IFERROR(VLOOKUP(G123,数据表!C:D,2,0),""),10)</f>
        <v/>
      </c>
      <c r="I123" s="19"/>
    </row>
    <row r="124" spans="1:9" s="18" customFormat="1" ht="18" x14ac:dyDescent="0.35">
      <c r="A124" s="24"/>
      <c r="B124" s="26" t="str">
        <f>LEFT(IFERROR(VLOOKUP(A124,数据表!C:D,2,0),""),10)</f>
        <v/>
      </c>
      <c r="C124" s="24" t="s">
        <v>1158</v>
      </c>
      <c r="D124" s="26" t="str">
        <f>LEFT(IFERROR(VLOOKUP(C124,数据表!C:D,2,0),""),10)</f>
        <v>奖品兑换收货人信息</v>
      </c>
      <c r="E124" s="22"/>
      <c r="F124" s="27" t="str">
        <f>LEFT(IFERROR(VLOOKUP(E124,数据表!C:D,2,0),""),10)</f>
        <v/>
      </c>
      <c r="G124" s="31"/>
      <c r="H124" s="27" t="str">
        <f>LEFT(IFERROR(VLOOKUP(G124,数据表!C:D,2,0),""),10)</f>
        <v/>
      </c>
      <c r="I124" s="19"/>
    </row>
    <row r="125" spans="1:9" s="18" customFormat="1" ht="18" x14ac:dyDescent="0.35">
      <c r="A125" s="24"/>
      <c r="B125" s="26" t="str">
        <f>LEFT(IFERROR(VLOOKUP(A125,数据表!C:D,2,0),""),10)</f>
        <v/>
      </c>
      <c r="C125" s="24" t="s">
        <v>1269</v>
      </c>
      <c r="D125" s="26" t="str">
        <f>LEFT(IFERROR(VLOOKUP(C125,数据表!C:D,2,0),""),10)</f>
        <v>用户积分表</v>
      </c>
      <c r="E125" s="22"/>
      <c r="F125" s="27" t="str">
        <f>LEFT(IFERROR(VLOOKUP(E125,数据表!C:D,2,0),""),10)</f>
        <v/>
      </c>
      <c r="G125" s="31"/>
      <c r="H125" s="27" t="str">
        <f>LEFT(IFERROR(VLOOKUP(G125,数据表!C:D,2,0),""),10)</f>
        <v/>
      </c>
      <c r="I125" s="19"/>
    </row>
    <row r="126" spans="1:9" s="18" customFormat="1" ht="18" x14ac:dyDescent="0.35">
      <c r="A126" s="24"/>
      <c r="B126" s="26" t="str">
        <f>LEFT(IFERROR(VLOOKUP(A126,数据表!C:D,2,0),""),10)</f>
        <v/>
      </c>
      <c r="C126" s="24" t="s">
        <v>1271</v>
      </c>
      <c r="D126" s="26" t="str">
        <f>LEFT(IFERROR(VLOOKUP(C126,数据表!C:D,2,0),""),10)</f>
        <v>用户积分明细表</v>
      </c>
      <c r="E126" s="22"/>
      <c r="F126" s="27" t="str">
        <f>LEFT(IFERROR(VLOOKUP(E126,数据表!C:D,2,0),""),10)</f>
        <v/>
      </c>
      <c r="G126" s="31"/>
      <c r="H126" s="27" t="str">
        <f>LEFT(IFERROR(VLOOKUP(G126,数据表!C:D,2,0),""),10)</f>
        <v/>
      </c>
      <c r="I126" s="19"/>
    </row>
    <row r="127" spans="1:9" s="18" customFormat="1" ht="18" x14ac:dyDescent="0.35">
      <c r="A127" s="24"/>
      <c r="B127" s="26" t="str">
        <f>LEFT(IFERROR(VLOOKUP(A127,数据表!C:D,2,0),""),10)</f>
        <v/>
      </c>
      <c r="C127" s="24"/>
      <c r="D127" s="26" t="str">
        <f>LEFT(IFERROR(VLOOKUP(C127,数据表!C:D,2,0),""),10)</f>
        <v/>
      </c>
      <c r="E127" s="22"/>
      <c r="F127" s="27" t="str">
        <f>LEFT(IFERROR(VLOOKUP(E127,数据表!C:D,2,0),""),10)</f>
        <v/>
      </c>
      <c r="G127" s="31"/>
      <c r="H127" s="27" t="str">
        <f>LEFT(IFERROR(VLOOKUP(G127,数据表!C:D,2,0),""),10)</f>
        <v/>
      </c>
      <c r="I127" s="19"/>
    </row>
    <row r="128" spans="1:9" s="18" customFormat="1" ht="18" x14ac:dyDescent="0.35">
      <c r="A128" s="24"/>
      <c r="B128" s="26" t="str">
        <f>LEFT(IFERROR(VLOOKUP(A128,数据表!C:D,2,0),""),10)</f>
        <v/>
      </c>
      <c r="C128" s="24"/>
      <c r="D128" s="26" t="str">
        <f>LEFT(IFERROR(VLOOKUP(C128,数据表!C:D,2,0),""),10)</f>
        <v/>
      </c>
      <c r="E128" s="24"/>
      <c r="F128" s="26" t="str">
        <f>LEFT(IFERROR(VLOOKUP(E128,数据表!C:D,2,0),""),10)</f>
        <v/>
      </c>
      <c r="G128" s="31"/>
      <c r="H128" s="27"/>
      <c r="I128" s="19"/>
    </row>
    <row r="129" spans="1:9" s="18" customFormat="1" ht="18" x14ac:dyDescent="0.35">
      <c r="A129" s="24"/>
      <c r="B129" s="26" t="str">
        <f>LEFT(IFERROR(VLOOKUP(A129,数据表!C:D,2,0),""),10)</f>
        <v/>
      </c>
      <c r="C129" s="24"/>
      <c r="D129" s="26" t="str">
        <f>LEFT(IFERROR(VLOOKUP(C129,数据表!C:D,2,0),""),10)</f>
        <v/>
      </c>
      <c r="E129" s="24"/>
      <c r="F129" s="26" t="str">
        <f>LEFT(IFERROR(VLOOKUP(E129,数据表!C:D,2,0),""),10)</f>
        <v/>
      </c>
      <c r="G129" s="31"/>
      <c r="H129" s="27"/>
      <c r="I129" s="19"/>
    </row>
    <row r="130" spans="1:9" s="18" customFormat="1" ht="18" x14ac:dyDescent="0.35">
      <c r="A130" s="24"/>
      <c r="B130" s="26"/>
      <c r="C130" s="24"/>
      <c r="D130" s="26"/>
      <c r="E130" s="24"/>
      <c r="F130" s="26"/>
      <c r="G130" s="31"/>
      <c r="H130" s="27"/>
      <c r="I130" s="19"/>
    </row>
    <row r="131" spans="1:9" s="18" customFormat="1" ht="18" x14ac:dyDescent="0.35">
      <c r="A131" s="24"/>
      <c r="B131" s="26"/>
      <c r="C131" s="24"/>
      <c r="D131" s="26"/>
      <c r="E131" s="24"/>
      <c r="F131" s="26"/>
      <c r="G131" s="31"/>
      <c r="H131" s="27"/>
      <c r="I131" s="19"/>
    </row>
    <row r="132" spans="1:9" s="18" customFormat="1" ht="18" x14ac:dyDescent="0.35">
      <c r="A132" s="24"/>
      <c r="B132" s="26"/>
      <c r="C132" s="24"/>
      <c r="D132" s="26"/>
      <c r="E132" s="24"/>
      <c r="F132" s="26"/>
      <c r="G132" s="31"/>
      <c r="H132" s="27"/>
      <c r="I132" s="19"/>
    </row>
    <row r="133" spans="1:9" s="18" customFormat="1" ht="18" x14ac:dyDescent="0.35">
      <c r="A133" s="24"/>
      <c r="B133" s="26"/>
      <c r="C133" s="24"/>
      <c r="D133" s="26"/>
      <c r="E133" s="24"/>
      <c r="F133" s="26"/>
      <c r="G133" s="31"/>
      <c r="H133" s="27"/>
      <c r="I133" s="19"/>
    </row>
    <row r="134" spans="1:9" s="18" customFormat="1" ht="18" x14ac:dyDescent="0.35">
      <c r="A134" s="24"/>
      <c r="B134" s="26"/>
      <c r="C134" s="24"/>
      <c r="D134" s="26"/>
      <c r="E134" s="24"/>
      <c r="F134" s="26"/>
      <c r="G134" s="31"/>
      <c r="H134" s="27"/>
      <c r="I134" s="19"/>
    </row>
    <row r="135" spans="1:9" s="18" customFormat="1" ht="18" x14ac:dyDescent="0.35">
      <c r="A135" s="24"/>
      <c r="B135" s="26"/>
      <c r="C135" s="24"/>
      <c r="D135" s="26"/>
      <c r="E135" s="24"/>
      <c r="F135" s="26"/>
      <c r="G135" s="31"/>
      <c r="H135" s="27"/>
      <c r="I135" s="19"/>
    </row>
    <row r="136" spans="1:9" s="18" customFormat="1" ht="18" x14ac:dyDescent="0.35">
      <c r="A136" s="24"/>
      <c r="B136" s="26"/>
      <c r="C136" s="24"/>
      <c r="D136" s="26"/>
      <c r="E136" s="24"/>
      <c r="F136" s="26"/>
      <c r="G136" s="31"/>
      <c r="H136" s="27"/>
      <c r="I136" s="19"/>
    </row>
    <row r="137" spans="1:9" s="18" customFormat="1" ht="18" x14ac:dyDescent="0.35">
      <c r="A137" s="24"/>
      <c r="B137" s="26"/>
      <c r="C137" s="24"/>
      <c r="D137" s="26"/>
      <c r="E137" s="24"/>
      <c r="F137" s="26"/>
      <c r="G137" s="31"/>
      <c r="H137" s="27"/>
      <c r="I137" s="19"/>
    </row>
    <row r="138" spans="1:9" s="18" customFormat="1" ht="18" x14ac:dyDescent="0.35">
      <c r="A138" s="24"/>
      <c r="B138" s="26"/>
      <c r="C138" s="24"/>
      <c r="D138" s="26"/>
      <c r="E138" s="24"/>
      <c r="F138" s="26"/>
      <c r="G138" s="31"/>
      <c r="H138" s="27"/>
      <c r="I138" s="19"/>
    </row>
    <row r="139" spans="1:9" s="18" customFormat="1" ht="18" x14ac:dyDescent="0.35">
      <c r="A139" s="24"/>
      <c r="B139" s="26"/>
      <c r="C139" s="24"/>
      <c r="D139" s="26"/>
      <c r="E139" s="24"/>
      <c r="F139" s="26"/>
      <c r="G139" s="31"/>
      <c r="H139" s="27"/>
      <c r="I139" s="19"/>
    </row>
    <row r="140" spans="1:9" s="18" customFormat="1" ht="18" x14ac:dyDescent="0.35">
      <c r="A140" s="24"/>
      <c r="B140" s="26"/>
      <c r="C140" s="24"/>
      <c r="D140" s="26"/>
      <c r="E140" s="24"/>
      <c r="F140" s="26"/>
      <c r="G140" s="31"/>
      <c r="H140" s="27"/>
      <c r="I140" s="19"/>
    </row>
    <row r="141" spans="1:9" s="18" customFormat="1" ht="18" x14ac:dyDescent="0.35">
      <c r="A141" s="24"/>
      <c r="B141" s="26"/>
      <c r="C141" s="24"/>
      <c r="D141" s="26"/>
      <c r="E141" s="24"/>
      <c r="F141" s="26"/>
      <c r="G141" s="31"/>
      <c r="H141" s="27"/>
      <c r="I141" s="19"/>
    </row>
    <row r="142" spans="1:9" s="18" customFormat="1" ht="18" x14ac:dyDescent="0.35">
      <c r="A142" s="24"/>
      <c r="B142" s="26"/>
      <c r="C142" s="24"/>
      <c r="D142" s="26"/>
      <c r="E142" s="24"/>
      <c r="F142" s="26"/>
      <c r="G142" s="31"/>
      <c r="H142" s="27"/>
      <c r="I142" s="19"/>
    </row>
    <row r="143" spans="1:9" s="18" customFormat="1" ht="18" x14ac:dyDescent="0.35">
      <c r="A143" s="24"/>
      <c r="B143" s="26"/>
      <c r="C143" s="24"/>
      <c r="D143" s="26"/>
      <c r="E143" s="24"/>
      <c r="F143" s="26"/>
      <c r="G143" s="31"/>
      <c r="H143" s="27"/>
      <c r="I143" s="19"/>
    </row>
    <row r="144" spans="1:9" s="18" customFormat="1" ht="18" x14ac:dyDescent="0.35">
      <c r="A144" s="24"/>
      <c r="B144" s="26"/>
      <c r="C144" s="24"/>
      <c r="D144" s="26"/>
      <c r="E144" s="24"/>
      <c r="F144" s="26"/>
      <c r="G144" s="31"/>
      <c r="H144" s="27"/>
      <c r="I144" s="19"/>
    </row>
    <row r="145" spans="1:9" s="18" customFormat="1" ht="18" x14ac:dyDescent="0.35">
      <c r="A145" s="24"/>
      <c r="B145" s="26"/>
      <c r="C145" s="24"/>
      <c r="D145" s="26"/>
      <c r="E145" s="24"/>
      <c r="F145" s="26"/>
      <c r="G145" s="31"/>
      <c r="H145" s="27"/>
      <c r="I145" s="19"/>
    </row>
    <row r="146" spans="1:9" s="18" customFormat="1" ht="18" x14ac:dyDescent="0.35">
      <c r="A146" s="24"/>
      <c r="B146" s="26"/>
      <c r="C146" s="24"/>
      <c r="D146" s="26"/>
      <c r="E146" s="24"/>
      <c r="F146" s="26"/>
      <c r="G146" s="31"/>
      <c r="H146" s="27"/>
      <c r="I146" s="19"/>
    </row>
    <row r="147" spans="1:9" s="18" customFormat="1" ht="18" x14ac:dyDescent="0.35">
      <c r="A147" s="24"/>
      <c r="B147" s="26"/>
      <c r="C147" s="24"/>
      <c r="D147" s="26"/>
      <c r="E147" s="24"/>
      <c r="F147" s="26"/>
      <c r="G147" s="31"/>
      <c r="H147" s="27"/>
      <c r="I147" s="19"/>
    </row>
    <row r="148" spans="1:9" s="18" customFormat="1" ht="18" x14ac:dyDescent="0.35">
      <c r="A148" s="24"/>
      <c r="B148" s="26"/>
      <c r="C148" s="24"/>
      <c r="D148" s="26"/>
      <c r="E148" s="24"/>
      <c r="F148" s="26"/>
      <c r="G148" s="31"/>
      <c r="H148" s="27"/>
      <c r="I148" s="19"/>
    </row>
  </sheetData>
  <mergeCells count="4">
    <mergeCell ref="A1:B1"/>
    <mergeCell ref="C1:D1"/>
    <mergeCell ref="G1:H1"/>
    <mergeCell ref="E1:F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workbookViewId="0">
      <selection activeCell="C18" sqref="C18"/>
    </sheetView>
  </sheetViews>
  <sheetFormatPr defaultRowHeight="14.25" x14ac:dyDescent="0.2"/>
  <cols>
    <col min="2" max="2" width="19.125" customWidth="1"/>
    <col min="3" max="3" width="22.5" bestFit="1" customWidth="1"/>
  </cols>
  <sheetData>
    <row r="2" spans="2:8" x14ac:dyDescent="0.2">
      <c r="H2" t="s">
        <v>1408</v>
      </c>
    </row>
    <row r="3" spans="2:8" x14ac:dyDescent="0.2">
      <c r="H3" t="s">
        <v>1410</v>
      </c>
    </row>
    <row r="4" spans="2:8" x14ac:dyDescent="0.2">
      <c r="B4" t="s">
        <v>1409</v>
      </c>
      <c r="C4" t="s">
        <v>121</v>
      </c>
      <c r="D4" t="s">
        <v>1408</v>
      </c>
    </row>
    <row r="5" spans="2:8" x14ac:dyDescent="0.2">
      <c r="B5" t="s">
        <v>1407</v>
      </c>
      <c r="C5" t="s">
        <v>123</v>
      </c>
      <c r="D5" t="s">
        <v>1408</v>
      </c>
    </row>
    <row r="6" spans="2:8" x14ac:dyDescent="0.2">
      <c r="B6" t="s">
        <v>1407</v>
      </c>
      <c r="C6" t="s">
        <v>125</v>
      </c>
      <c r="D6" t="s">
        <v>1408</v>
      </c>
    </row>
    <row r="7" spans="2:8" x14ac:dyDescent="0.2">
      <c r="B7" t="s">
        <v>1407</v>
      </c>
      <c r="C7" t="s">
        <v>127</v>
      </c>
      <c r="D7" t="s">
        <v>1408</v>
      </c>
    </row>
    <row r="8" spans="2:8" x14ac:dyDescent="0.2">
      <c r="B8" t="s">
        <v>1407</v>
      </c>
      <c r="C8" t="s">
        <v>129</v>
      </c>
      <c r="D8" t="s">
        <v>1408</v>
      </c>
    </row>
    <row r="9" spans="2:8" x14ac:dyDescent="0.2">
      <c r="B9" t="s">
        <v>1407</v>
      </c>
      <c r="C9" t="s">
        <v>135</v>
      </c>
      <c r="D9" t="s">
        <v>1408</v>
      </c>
    </row>
    <row r="10" spans="2:8" x14ac:dyDescent="0.2">
      <c r="B10" t="s">
        <v>1407</v>
      </c>
      <c r="C10" t="s">
        <v>87</v>
      </c>
      <c r="D10" t="s">
        <v>1408</v>
      </c>
    </row>
    <row r="11" spans="2:8" x14ac:dyDescent="0.2">
      <c r="B11" t="s">
        <v>1407</v>
      </c>
      <c r="C11" t="s">
        <v>89</v>
      </c>
      <c r="D11" t="s">
        <v>1408</v>
      </c>
    </row>
    <row r="12" spans="2:8" x14ac:dyDescent="0.2">
      <c r="B12" t="s">
        <v>1407</v>
      </c>
      <c r="C12" t="s">
        <v>91</v>
      </c>
      <c r="D12" t="s">
        <v>1408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A4" sqref="A4:XFD4"/>
    </sheetView>
  </sheetViews>
  <sheetFormatPr defaultRowHeight="14.25" x14ac:dyDescent="0.2"/>
  <cols>
    <col min="1" max="1" width="21" customWidth="1"/>
    <col min="2" max="2" width="23.625" customWidth="1"/>
    <col min="3" max="3" width="15.375" customWidth="1"/>
    <col min="4" max="4" width="13" style="41" bestFit="1" customWidth="1"/>
  </cols>
  <sheetData>
    <row r="1" spans="1:4" x14ac:dyDescent="0.2">
      <c r="A1" s="36" t="s">
        <v>1440</v>
      </c>
      <c r="B1" s="36" t="s">
        <v>1441</v>
      </c>
      <c r="C1" s="36" t="s">
        <v>1357</v>
      </c>
      <c r="D1" s="39" t="s">
        <v>1442</v>
      </c>
    </row>
    <row r="2" spans="1:4" ht="17.25" x14ac:dyDescent="0.3">
      <c r="A2" s="37" t="s">
        <v>261</v>
      </c>
      <c r="B2" s="38" t="s">
        <v>1447</v>
      </c>
      <c r="C2" s="38" t="s">
        <v>1439</v>
      </c>
      <c r="D2" s="40">
        <v>7</v>
      </c>
    </row>
    <row r="3" spans="1:4" ht="17.25" x14ac:dyDescent="0.3">
      <c r="A3" s="37" t="s">
        <v>376</v>
      </c>
      <c r="B3" s="38" t="s">
        <v>1447</v>
      </c>
      <c r="C3" s="38" t="s">
        <v>1439</v>
      </c>
      <c r="D3" s="40">
        <v>7</v>
      </c>
    </row>
    <row r="4" spans="1:4" ht="17.25" x14ac:dyDescent="0.3">
      <c r="A4" s="37" t="s">
        <v>866</v>
      </c>
      <c r="B4" s="38" t="s">
        <v>1437</v>
      </c>
      <c r="C4" s="38" t="s">
        <v>1439</v>
      </c>
      <c r="D4" s="40">
        <v>13</v>
      </c>
    </row>
    <row r="5" spans="1:4" ht="17.25" x14ac:dyDescent="0.3">
      <c r="A5" s="37" t="s">
        <v>455</v>
      </c>
      <c r="B5" s="38" t="s">
        <v>1438</v>
      </c>
      <c r="C5" s="38" t="s">
        <v>1439</v>
      </c>
      <c r="D5" s="40" t="s">
        <v>1443</v>
      </c>
    </row>
    <row r="6" spans="1:4" ht="17.25" x14ac:dyDescent="0.3">
      <c r="A6" s="37" t="s">
        <v>1444</v>
      </c>
      <c r="B6" s="42" t="s">
        <v>1447</v>
      </c>
      <c r="C6" s="38" t="s">
        <v>1439</v>
      </c>
      <c r="D6" s="40">
        <v>42</v>
      </c>
    </row>
    <row r="7" spans="1:4" ht="17.25" x14ac:dyDescent="0.3">
      <c r="A7" s="37" t="s">
        <v>1445</v>
      </c>
      <c r="B7" s="42" t="s">
        <v>1446</v>
      </c>
      <c r="C7" s="38" t="s">
        <v>1439</v>
      </c>
      <c r="D7" s="40">
        <v>43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zoomScale="80" zoomScaleNormal="80" workbookViewId="0">
      <selection activeCell="D55" sqref="D55"/>
    </sheetView>
  </sheetViews>
  <sheetFormatPr defaultRowHeight="14.25" x14ac:dyDescent="0.2"/>
  <sheetData>
    <row r="1" spans="1:1" x14ac:dyDescent="0.2">
      <c r="A1" t="s">
        <v>1403</v>
      </c>
    </row>
    <row r="2" spans="1:1" ht="72" customHeight="1" x14ac:dyDescent="0.2"/>
    <row r="3" spans="1:1" s="14" customFormat="1" ht="72" customHeight="1" x14ac:dyDescent="0.2"/>
    <row r="4" spans="1:1" s="14" customFormat="1" ht="72" customHeight="1" x14ac:dyDescent="0.2"/>
    <row r="5" spans="1:1" ht="72" customHeight="1" x14ac:dyDescent="0.2"/>
    <row r="6" spans="1:1" ht="15.75" customHeight="1" x14ac:dyDescent="0.2">
      <c r="A6" s="13" t="s">
        <v>1402</v>
      </c>
    </row>
    <row r="7" spans="1:1" ht="15.75" customHeight="1" x14ac:dyDescent="0.2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Sheet3</vt:lpstr>
      <vt:lpstr>业务流程 (2)</vt:lpstr>
      <vt:lpstr>数据表</vt:lpstr>
      <vt:lpstr>业务流程</vt:lpstr>
      <vt:lpstr>Sheet5</vt:lpstr>
      <vt:lpstr>资金账户</vt:lpstr>
      <vt:lpstr>计划类产品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2016-10-19T10:53:26Z</dcterms:modified>
</cp:coreProperties>
</file>