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3绩效\2019\2019Q1\2考核\"/>
    </mc:Choice>
  </mc:AlternateContent>
  <bookViews>
    <workbookView xWindow="0" yWindow="0" windowWidth="20490" windowHeight="6915" activeTab="1"/>
  </bookViews>
  <sheets>
    <sheet name="中心总" sheetId="3" r:id="rId1"/>
    <sheet name="二级部门长" sheetId="20" r:id="rId2"/>
    <sheet name="总裁办" sheetId="19" r:id="rId3"/>
    <sheet name="资产板块" sheetId="15" r:id="rId4"/>
    <sheet name="资金板块" sheetId="14" r:id="rId5"/>
    <sheet name="金融科技" sheetId="10" r:id="rId6"/>
    <sheet name="财务中心" sheetId="8" r:id="rId7"/>
    <sheet name="人力资源中心" sheetId="13" r:id="rId8"/>
    <sheet name="内控法务中心" sheetId="12" r:id="rId9"/>
    <sheet name="等级分布" sheetId="4" state="hidden" r:id="rId10"/>
  </sheets>
  <definedNames>
    <definedName name="_xlnm._FilterDatabase" localSheetId="5" hidden="1">金融科技!$A$9:$W$121</definedName>
    <definedName name="_xlnm._FilterDatabase" localSheetId="3" hidden="1">资产板块!$A$9:$W$288</definedName>
    <definedName name="_xlnm._FilterDatabase" localSheetId="4" hidden="1">资金板块!$A$9:$W$130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20" l="1"/>
  <c r="F7" i="20" s="1"/>
  <c r="E5" i="20"/>
  <c r="E7" i="20" s="1"/>
  <c r="D5" i="20"/>
  <c r="D7" i="20" s="1"/>
  <c r="C5" i="20"/>
  <c r="C7" i="20" s="1"/>
  <c r="B5" i="20"/>
  <c r="B7" i="20" s="1"/>
  <c r="F5" i="19" l="1"/>
  <c r="F7" i="19" s="1"/>
  <c r="E5" i="19"/>
  <c r="E7" i="19" s="1"/>
  <c r="D5" i="19"/>
  <c r="D7" i="19" s="1"/>
  <c r="C5" i="19"/>
  <c r="C7" i="19" s="1"/>
  <c r="B5" i="19"/>
  <c r="B7" i="19"/>
  <c r="C5" i="15"/>
  <c r="C7" i="15" s="1"/>
  <c r="B5" i="15"/>
  <c r="B7" i="15" s="1"/>
  <c r="F5" i="15"/>
  <c r="F7" i="15" s="1"/>
  <c r="E5" i="15"/>
  <c r="E7" i="15" s="1"/>
  <c r="D5" i="15"/>
  <c r="D7" i="15" s="1"/>
  <c r="C5" i="14"/>
  <c r="C7" i="14" s="1"/>
  <c r="B5" i="14"/>
  <c r="B7" i="14" s="1"/>
  <c r="F5" i="14"/>
  <c r="F7" i="14" s="1"/>
  <c r="E5" i="14"/>
  <c r="E7" i="14" s="1"/>
  <c r="D5" i="14"/>
  <c r="D7" i="14" s="1"/>
  <c r="F5" i="13"/>
  <c r="E5" i="13"/>
  <c r="D5" i="13"/>
  <c r="C5" i="13"/>
  <c r="B5" i="13"/>
  <c r="F5" i="12"/>
  <c r="F7" i="12" s="1"/>
  <c r="E5" i="12"/>
  <c r="E7" i="12" s="1"/>
  <c r="D5" i="12"/>
  <c r="D7" i="12" s="1"/>
  <c r="C5" i="12"/>
  <c r="C7" i="12" s="1"/>
  <c r="B5" i="12"/>
  <c r="B7" i="12" s="1"/>
  <c r="F5" i="10"/>
  <c r="F7" i="10" s="1"/>
  <c r="E5" i="10"/>
  <c r="E7" i="10" s="1"/>
  <c r="D5" i="10"/>
  <c r="D7" i="10" s="1"/>
  <c r="C5" i="10"/>
  <c r="C7" i="10" s="1"/>
  <c r="B5" i="10"/>
  <c r="B7" i="10" s="1"/>
  <c r="F5" i="8"/>
  <c r="F7" i="8" s="1"/>
  <c r="E5" i="8"/>
  <c r="E7" i="8" s="1"/>
  <c r="D5" i="8"/>
  <c r="C5" i="8"/>
  <c r="B5" i="8"/>
  <c r="B7" i="8" s="1"/>
  <c r="F5" i="3"/>
  <c r="F7" i="3" s="1"/>
  <c r="E5" i="3"/>
  <c r="E7" i="3" s="1"/>
  <c r="D5" i="3"/>
  <c r="D7" i="3" s="1"/>
  <c r="C5" i="3"/>
  <c r="B5" i="3"/>
  <c r="B7" i="3" s="1"/>
  <c r="D7" i="8"/>
  <c r="C7" i="3"/>
  <c r="C7" i="8" l="1"/>
  <c r="E7" i="13"/>
  <c r="D7" i="13"/>
  <c r="C7" i="13"/>
  <c r="B7" i="13"/>
  <c r="F7" i="13"/>
</calcChain>
</file>

<file path=xl/sharedStrings.xml><?xml version="1.0" encoding="utf-8"?>
<sst xmlns="http://schemas.openxmlformats.org/spreadsheetml/2006/main" count="4602" uniqueCount="1568">
  <si>
    <t>员工编码</t>
  </si>
  <si>
    <t>员工姓名</t>
  </si>
  <si>
    <t>黄大容</t>
  </si>
  <si>
    <t>总裁办</t>
  </si>
  <si>
    <t>集团CEO</t>
  </si>
  <si>
    <t xml:space="preserve"> </t>
  </si>
  <si>
    <t>M00002</t>
  </si>
  <si>
    <t>龚俊平</t>
  </si>
  <si>
    <t>财务中心</t>
  </si>
  <si>
    <t>会计部</t>
  </si>
  <si>
    <t>出纳岗</t>
  </si>
  <si>
    <t>王幽雅</t>
  </si>
  <si>
    <t>P3</t>
  </si>
  <si>
    <t>M00003</t>
  </si>
  <si>
    <t>杨淑敏</t>
  </si>
  <si>
    <t>内控法务中心</t>
  </si>
  <si>
    <t>内部审计部</t>
  </si>
  <si>
    <t>内部审计岗</t>
  </si>
  <si>
    <t>韩佳赟</t>
  </si>
  <si>
    <t>M7</t>
  </si>
  <si>
    <t>M00004</t>
  </si>
  <si>
    <t>王磊</t>
  </si>
  <si>
    <t>资产产品总监</t>
  </si>
  <si>
    <t>梁竹青</t>
  </si>
  <si>
    <t>M6</t>
  </si>
  <si>
    <t>M00005</t>
  </si>
  <si>
    <t>申佳</t>
  </si>
  <si>
    <t>资金交易部</t>
  </si>
  <si>
    <t>资金核查岗</t>
  </si>
  <si>
    <t>陈丽丽</t>
  </si>
  <si>
    <t>M00006</t>
  </si>
  <si>
    <t>郝诗梦</t>
  </si>
  <si>
    <t>质量控制部</t>
  </si>
  <si>
    <t>测试开发岗</t>
  </si>
  <si>
    <t>韩亮亮</t>
  </si>
  <si>
    <t>M00007</t>
  </si>
  <si>
    <t>龚文魁</t>
  </si>
  <si>
    <t>董事长助理</t>
  </si>
  <si>
    <t>B2</t>
  </si>
  <si>
    <t>M00015</t>
  </si>
  <si>
    <t>曾庆辉</t>
  </si>
  <si>
    <t>消费金融资产部负责人</t>
  </si>
  <si>
    <t>陈弘</t>
  </si>
  <si>
    <t>M8</t>
  </si>
  <si>
    <t>M00016</t>
  </si>
  <si>
    <t>会计部副职</t>
  </si>
  <si>
    <t>谢知君</t>
  </si>
  <si>
    <t>M5</t>
  </si>
  <si>
    <t>移动开发部</t>
  </si>
  <si>
    <t>Android开发岗</t>
  </si>
  <si>
    <t>M00022</t>
  </si>
  <si>
    <t>丁维</t>
  </si>
  <si>
    <t>财富运营部</t>
  </si>
  <si>
    <t>用户运营主管</t>
  </si>
  <si>
    <t>李伟</t>
  </si>
  <si>
    <t>P2</t>
  </si>
  <si>
    <t>P5</t>
  </si>
  <si>
    <t>M00025</t>
  </si>
  <si>
    <t>温毅娟</t>
  </si>
  <si>
    <t>新大房东负责人</t>
  </si>
  <si>
    <t>P6</t>
  </si>
  <si>
    <t>M00026</t>
  </si>
  <si>
    <t>肖斌</t>
  </si>
  <si>
    <t>资金交易部负责人</t>
  </si>
  <si>
    <t>顾问</t>
  </si>
  <si>
    <t>项目管理岗</t>
  </si>
  <si>
    <t>M00036</t>
  </si>
  <si>
    <t>翁志军</t>
  </si>
  <si>
    <t>资金应用开发部负责人</t>
  </si>
  <si>
    <t>彭琛</t>
  </si>
  <si>
    <t>M00041</t>
  </si>
  <si>
    <t>刘佩华</t>
  </si>
  <si>
    <t>资产应用开发部</t>
  </si>
  <si>
    <t>CTO助理</t>
  </si>
  <si>
    <t>庄浩英</t>
  </si>
  <si>
    <t>基础运维部</t>
  </si>
  <si>
    <t>基础运维部负责人</t>
  </si>
  <si>
    <t>M00046</t>
  </si>
  <si>
    <t>陈利华</t>
  </si>
  <si>
    <t>资金中心总经理助理</t>
  </si>
  <si>
    <t>P4</t>
  </si>
  <si>
    <t>M00048</t>
  </si>
  <si>
    <t>人力资源中心</t>
  </si>
  <si>
    <t>M00058</t>
  </si>
  <si>
    <t>龚莲芳</t>
  </si>
  <si>
    <t>岗位待定</t>
  </si>
  <si>
    <t>移动前端开发岗</t>
  </si>
  <si>
    <t>刘重远</t>
  </si>
  <si>
    <t>M00067</t>
  </si>
  <si>
    <t>杨晨</t>
  </si>
  <si>
    <t>M00071</t>
  </si>
  <si>
    <t>陈忠雯</t>
  </si>
  <si>
    <t>社区运营负责人</t>
  </si>
  <si>
    <t>P1</t>
  </si>
  <si>
    <t>M00076</t>
  </si>
  <si>
    <t>王国栋</t>
  </si>
  <si>
    <t>IOS研发组负责人</t>
  </si>
  <si>
    <t>李胜书</t>
  </si>
  <si>
    <t>M00079</t>
  </si>
  <si>
    <t>徐熠</t>
  </si>
  <si>
    <t>用户运营组负责人</t>
  </si>
  <si>
    <t>M00083</t>
  </si>
  <si>
    <t>王镇杰</t>
  </si>
  <si>
    <t>基础研发负责人</t>
  </si>
  <si>
    <t>刘俏</t>
  </si>
  <si>
    <t>M00084</t>
  </si>
  <si>
    <t>王励杰</t>
  </si>
  <si>
    <t>基础平台开发部</t>
  </si>
  <si>
    <t>JAVA开发岗</t>
  </si>
  <si>
    <t>于骁丹</t>
  </si>
  <si>
    <t>M00085</t>
  </si>
  <si>
    <t>刘素琼</t>
  </si>
  <si>
    <t>渠道推广岗</t>
  </si>
  <si>
    <t>M00086</t>
  </si>
  <si>
    <t>宋灵玲</t>
  </si>
  <si>
    <t>社群运营岗</t>
  </si>
  <si>
    <t>M00091</t>
  </si>
  <si>
    <t>张惟力</t>
  </si>
  <si>
    <t>市场经理</t>
  </si>
  <si>
    <t>B5</t>
  </si>
  <si>
    <t>M00092</t>
  </si>
  <si>
    <t>严卉诗</t>
  </si>
  <si>
    <t>信审部</t>
  </si>
  <si>
    <t>运营支持组组长</t>
  </si>
  <si>
    <t>陈坚栋</t>
  </si>
  <si>
    <t>B3</t>
  </si>
  <si>
    <t>M00094</t>
  </si>
  <si>
    <t>曾文文</t>
  </si>
  <si>
    <t>M00095</t>
  </si>
  <si>
    <t>仇雷</t>
  </si>
  <si>
    <t>M00096</t>
  </si>
  <si>
    <t>封花</t>
  </si>
  <si>
    <t>产品运营岗</t>
  </si>
  <si>
    <t>M00097</t>
  </si>
  <si>
    <t>资产应用开发负责人</t>
  </si>
  <si>
    <t>M00099</t>
  </si>
  <si>
    <t>常兵兵</t>
  </si>
  <si>
    <t>M00100</t>
  </si>
  <si>
    <t>万德军</t>
  </si>
  <si>
    <t>开发总监岗</t>
  </si>
  <si>
    <t>信审主管</t>
  </si>
  <si>
    <t>信审组长</t>
  </si>
  <si>
    <t>M00112</t>
  </si>
  <si>
    <t>张萍</t>
  </si>
  <si>
    <t>会计核算岗</t>
  </si>
  <si>
    <t>M00113</t>
  </si>
  <si>
    <t>柳林俊</t>
  </si>
  <si>
    <t>UED总监</t>
  </si>
  <si>
    <t>M00116</t>
  </si>
  <si>
    <t>周牧野</t>
  </si>
  <si>
    <t>市场品牌部</t>
  </si>
  <si>
    <t>高级品牌经理</t>
  </si>
  <si>
    <t>卢元强</t>
  </si>
  <si>
    <t>B4</t>
  </si>
  <si>
    <t>M00124</t>
  </si>
  <si>
    <t>袁丽丽</t>
  </si>
  <si>
    <t>行政助理</t>
  </si>
  <si>
    <t>B1</t>
  </si>
  <si>
    <t>M00127</t>
  </si>
  <si>
    <t>周瑞虹</t>
  </si>
  <si>
    <t>终审专员</t>
  </si>
  <si>
    <t>王雪松</t>
  </si>
  <si>
    <t>M00130</t>
  </si>
  <si>
    <t>唐心怡</t>
  </si>
  <si>
    <t>资金支付岗</t>
  </si>
  <si>
    <t>M00131</t>
  </si>
  <si>
    <t>贾芳霞</t>
  </si>
  <si>
    <t>品牌经理</t>
  </si>
  <si>
    <t>浦一鸣</t>
  </si>
  <si>
    <t>M00132</t>
  </si>
  <si>
    <t>储婷婷</t>
  </si>
  <si>
    <t>M00135</t>
  </si>
  <si>
    <t>常雪营</t>
  </si>
  <si>
    <t>财神运营部</t>
  </si>
  <si>
    <t>活动运营岗</t>
  </si>
  <si>
    <t>张杨</t>
  </si>
  <si>
    <t>M00139</t>
  </si>
  <si>
    <t>徐帅</t>
  </si>
  <si>
    <t>品牌运营总监</t>
  </si>
  <si>
    <t>锁麟</t>
  </si>
  <si>
    <t>产品岗</t>
  </si>
  <si>
    <t>M00146</t>
  </si>
  <si>
    <t>茅赛赛</t>
  </si>
  <si>
    <t>M00147</t>
  </si>
  <si>
    <t>刘亚宗</t>
  </si>
  <si>
    <t>肖少华</t>
  </si>
  <si>
    <t>M00151</t>
  </si>
  <si>
    <t>马茜</t>
  </si>
  <si>
    <t>M00156</t>
  </si>
  <si>
    <t>质检专员</t>
  </si>
  <si>
    <t>M00162</t>
  </si>
  <si>
    <t>彭立</t>
  </si>
  <si>
    <t>M00163</t>
  </si>
  <si>
    <t>陈燕</t>
  </si>
  <si>
    <t>M00164</t>
  </si>
  <si>
    <t>张立娜</t>
  </si>
  <si>
    <t>M00171</t>
  </si>
  <si>
    <t>孙玉荣</t>
  </si>
  <si>
    <t>M00175</t>
  </si>
  <si>
    <t>财神爷爷运营总监</t>
  </si>
  <si>
    <t>M00179</t>
  </si>
  <si>
    <t>M00182</t>
  </si>
  <si>
    <t>薛慧</t>
  </si>
  <si>
    <t>渠道运营岗</t>
  </si>
  <si>
    <t>反欺诈岗</t>
  </si>
  <si>
    <t>M00197</t>
  </si>
  <si>
    <t>陈晓婕</t>
  </si>
  <si>
    <t>行政管理部</t>
  </si>
  <si>
    <t>采购管理岗</t>
  </si>
  <si>
    <t>刘艳</t>
  </si>
  <si>
    <t>郑雷</t>
  </si>
  <si>
    <t>项目岗</t>
  </si>
  <si>
    <t>客户服务部</t>
  </si>
  <si>
    <t>上海客诉岗</t>
  </si>
  <si>
    <t>M00208</t>
  </si>
  <si>
    <t>王健军</t>
  </si>
  <si>
    <t>M00211</t>
  </si>
  <si>
    <t>毛晨</t>
  </si>
  <si>
    <t>客诉组负责人（代理）</t>
  </si>
  <si>
    <t>王语丰</t>
  </si>
  <si>
    <t>M00213</t>
  </si>
  <si>
    <t>尤远明</t>
  </si>
  <si>
    <t>交易产品组负责人</t>
  </si>
  <si>
    <t>M00214</t>
  </si>
  <si>
    <t>曾圣</t>
  </si>
  <si>
    <t>张杰</t>
  </si>
  <si>
    <t>M00223</t>
  </si>
  <si>
    <t>徐进文</t>
  </si>
  <si>
    <t>客服专员</t>
  </si>
  <si>
    <t>张倩</t>
  </si>
  <si>
    <t>M00224</t>
  </si>
  <si>
    <t>戴鼎峰</t>
  </si>
  <si>
    <t>贷后外访岗</t>
  </si>
  <si>
    <t>M00231</t>
  </si>
  <si>
    <t>宋李奥贝</t>
  </si>
  <si>
    <t>CRO助理兼融资经理</t>
  </si>
  <si>
    <t>周玉琳</t>
  </si>
  <si>
    <t>M00240</t>
  </si>
  <si>
    <t>凡凯</t>
  </si>
  <si>
    <t>创新资产事业部总监岗</t>
  </si>
  <si>
    <t>初审专员</t>
  </si>
  <si>
    <t>M00245</t>
  </si>
  <si>
    <t>晏睿</t>
  </si>
  <si>
    <t>大前端服务研发岗</t>
  </si>
  <si>
    <t>IOS开发岗</t>
  </si>
  <si>
    <t>M00251</t>
  </si>
  <si>
    <t>王嫱</t>
  </si>
  <si>
    <t>M00252</t>
  </si>
  <si>
    <t>王锦月</t>
  </si>
  <si>
    <t>贷后管理部</t>
  </si>
  <si>
    <t>数据支持岗</t>
  </si>
  <si>
    <t>徐嘉文</t>
  </si>
  <si>
    <t>M00257</t>
  </si>
  <si>
    <t>许天增</t>
  </si>
  <si>
    <t>资金研发组负责人</t>
  </si>
  <si>
    <t>M00258</t>
  </si>
  <si>
    <t>曾亮</t>
  </si>
  <si>
    <t>M00262</t>
  </si>
  <si>
    <t>谷旋</t>
  </si>
  <si>
    <t>开发高级经理岗</t>
  </si>
  <si>
    <t>M00282</t>
  </si>
  <si>
    <t>王彭娟</t>
  </si>
  <si>
    <t>M00284</t>
  </si>
  <si>
    <t>李晶晶</t>
  </si>
  <si>
    <t>M00285</t>
  </si>
  <si>
    <t>李瑞友</t>
  </si>
  <si>
    <t>DBA小组负责人</t>
  </si>
  <si>
    <t>陆士超</t>
  </si>
  <si>
    <t>M00291</t>
  </si>
  <si>
    <t>金婷</t>
  </si>
  <si>
    <t>会计部负责人</t>
  </si>
  <si>
    <t>M00298</t>
  </si>
  <si>
    <t>陶韵</t>
  </si>
  <si>
    <t>M00299</t>
  </si>
  <si>
    <t>陆烨</t>
  </si>
  <si>
    <t>M00300</t>
  </si>
  <si>
    <t>叶思敏</t>
  </si>
  <si>
    <t>M00303</t>
  </si>
  <si>
    <t>周鑫</t>
  </si>
  <si>
    <t>助理产品经理</t>
  </si>
  <si>
    <t>M00308</t>
  </si>
  <si>
    <t>程威威</t>
  </si>
  <si>
    <t>基础研发组负责人</t>
  </si>
  <si>
    <t>M00313</t>
  </si>
  <si>
    <t>李文娟</t>
  </si>
  <si>
    <t>渠道合作部副总经理岗</t>
  </si>
  <si>
    <t>M00316</t>
  </si>
  <si>
    <t>移动开发组负责人</t>
  </si>
  <si>
    <t>M00317</t>
  </si>
  <si>
    <t>上海客服主管</t>
  </si>
  <si>
    <t>陶君敏</t>
  </si>
  <si>
    <t>培训专员</t>
  </si>
  <si>
    <t>M00327</t>
  </si>
  <si>
    <t>刘静</t>
  </si>
  <si>
    <t>M00329</t>
  </si>
  <si>
    <t>杨杰</t>
  </si>
  <si>
    <t>M00331</t>
  </si>
  <si>
    <t>Android研发组负责人</t>
  </si>
  <si>
    <t>M00332</t>
  </si>
  <si>
    <t>北京移动组负责人</t>
  </si>
  <si>
    <t>质检岗</t>
  </si>
  <si>
    <t>M00337</t>
  </si>
  <si>
    <t>肖小菊</t>
  </si>
  <si>
    <t>贷后委外岗</t>
  </si>
  <si>
    <t>赵燕</t>
  </si>
  <si>
    <t>M00347</t>
  </si>
  <si>
    <t>张雯婷</t>
  </si>
  <si>
    <t>M00349</t>
  </si>
  <si>
    <t>杨美容</t>
  </si>
  <si>
    <t>M00350</t>
  </si>
  <si>
    <t>段凤娜</t>
  </si>
  <si>
    <t>测试开发岗负责人</t>
  </si>
  <si>
    <t>张奎</t>
  </si>
  <si>
    <t>M00352</t>
  </si>
  <si>
    <t>李浩</t>
  </si>
  <si>
    <t>财务分析岗</t>
  </si>
  <si>
    <t>M00353</t>
  </si>
  <si>
    <t>魏克川</t>
  </si>
  <si>
    <t>M00354</t>
  </si>
  <si>
    <t>李伊婵</t>
  </si>
  <si>
    <t>用户运营岗</t>
  </si>
  <si>
    <t>M00355</t>
  </si>
  <si>
    <t>肖湘泓</t>
  </si>
  <si>
    <t>薪酬绩效管理部</t>
  </si>
  <si>
    <t>薪酬核算岗</t>
  </si>
  <si>
    <t>M00374</t>
  </si>
  <si>
    <t>安雅秀</t>
  </si>
  <si>
    <t>数据专员</t>
  </si>
  <si>
    <t>M00378</t>
  </si>
  <si>
    <t>荣佳丽</t>
  </si>
  <si>
    <t>员工管理与发展部</t>
  </si>
  <si>
    <t>员工关系岗</t>
  </si>
  <si>
    <t>胡荣萍</t>
  </si>
  <si>
    <t>M00383</t>
  </si>
  <si>
    <t>李尚坤</t>
  </si>
  <si>
    <t>市场拓展岗</t>
  </si>
  <si>
    <t>宋墨</t>
  </si>
  <si>
    <t>M00392</t>
  </si>
  <si>
    <t>杨恒</t>
  </si>
  <si>
    <t>M00396</t>
  </si>
  <si>
    <t>史亚苹</t>
  </si>
  <si>
    <t>PMO岗</t>
  </si>
  <si>
    <t>M00401</t>
  </si>
  <si>
    <t>吴礼通</t>
  </si>
  <si>
    <t>M00403</t>
  </si>
  <si>
    <t>商杨子</t>
  </si>
  <si>
    <t>M00404</t>
  </si>
  <si>
    <t>黄冰晶</t>
  </si>
  <si>
    <t>M00405</t>
  </si>
  <si>
    <t>华圆</t>
  </si>
  <si>
    <t>M00412</t>
  </si>
  <si>
    <t>风险研发负责人</t>
  </si>
  <si>
    <t>M00413</t>
  </si>
  <si>
    <t>王世杰</t>
  </si>
  <si>
    <t>M00414</t>
  </si>
  <si>
    <t>苟警卫</t>
  </si>
  <si>
    <t>测试高级经理岗</t>
  </si>
  <si>
    <t>M00417</t>
  </si>
  <si>
    <t>张勇耀</t>
  </si>
  <si>
    <t>贷后管理部负责人</t>
  </si>
  <si>
    <t>M00418</t>
  </si>
  <si>
    <t>翁明军</t>
  </si>
  <si>
    <t>董事长高级助理</t>
  </si>
  <si>
    <t>M9</t>
  </si>
  <si>
    <t>信贷风控部</t>
  </si>
  <si>
    <t>应用运维岗</t>
  </si>
  <si>
    <t>鲁成刚</t>
  </si>
  <si>
    <t>M00424</t>
  </si>
  <si>
    <t>曹思宇</t>
  </si>
  <si>
    <t>视觉设计岗</t>
  </si>
  <si>
    <t>M00430</t>
  </si>
  <si>
    <t>基础平台开发部负责人</t>
  </si>
  <si>
    <t>M00440</t>
  </si>
  <si>
    <t>单芝英</t>
  </si>
  <si>
    <t>M00441</t>
  </si>
  <si>
    <t>李薇娜</t>
  </si>
  <si>
    <t>张佳幸</t>
  </si>
  <si>
    <t>M00444</t>
  </si>
  <si>
    <t>朱兴华</t>
  </si>
  <si>
    <t>M00446</t>
  </si>
  <si>
    <t>郁波</t>
  </si>
  <si>
    <t>M00453</t>
  </si>
  <si>
    <t>王彦文</t>
  </si>
  <si>
    <t>贷后数据岗</t>
  </si>
  <si>
    <t>张薇</t>
  </si>
  <si>
    <t>M00454</t>
  </si>
  <si>
    <t>委外组负责人</t>
  </si>
  <si>
    <t>M00455</t>
  </si>
  <si>
    <t>岑峰</t>
  </si>
  <si>
    <t>余力</t>
  </si>
  <si>
    <t>M00461</t>
  </si>
  <si>
    <t>黄伟</t>
  </si>
  <si>
    <t>M00467</t>
  </si>
  <si>
    <t>M00474</t>
  </si>
  <si>
    <t>刘甦</t>
  </si>
  <si>
    <t>高级项目经理</t>
  </si>
  <si>
    <t>魏旭东</t>
  </si>
  <si>
    <t>M00478</t>
  </si>
  <si>
    <t>雷阳</t>
  </si>
  <si>
    <t>HTML5开发岗负责人</t>
  </si>
  <si>
    <t>M00480</t>
  </si>
  <si>
    <t>顼士超</t>
  </si>
  <si>
    <t>M00482</t>
  </si>
  <si>
    <t>张丽</t>
  </si>
  <si>
    <t>行政文秘岗</t>
  </si>
  <si>
    <t>沈治华</t>
  </si>
  <si>
    <t>M00485</t>
  </si>
  <si>
    <t>王娟</t>
  </si>
  <si>
    <t>陈思聪</t>
  </si>
  <si>
    <t>M00493</t>
  </si>
  <si>
    <t>张宸</t>
  </si>
  <si>
    <t>风控催收岗</t>
  </si>
  <si>
    <t>司徒豪杰</t>
  </si>
  <si>
    <t>M00497</t>
  </si>
  <si>
    <t>翟海涛</t>
  </si>
  <si>
    <t>M00503</t>
  </si>
  <si>
    <t>吴文蓝</t>
  </si>
  <si>
    <t>M00505</t>
  </si>
  <si>
    <t>洪艳</t>
  </si>
  <si>
    <t>M00511</t>
  </si>
  <si>
    <t>数据组负责人</t>
  </si>
  <si>
    <t>李舒雯</t>
  </si>
  <si>
    <t>M00512</t>
  </si>
  <si>
    <t>运营组负责人</t>
  </si>
  <si>
    <t>M00517</t>
  </si>
  <si>
    <t>高月军</t>
  </si>
  <si>
    <t>绩效管理岗</t>
  </si>
  <si>
    <t>王永亮</t>
  </si>
  <si>
    <t>M00519</t>
  </si>
  <si>
    <t>欧阳淑玉</t>
  </si>
  <si>
    <t>UI设计岗</t>
  </si>
  <si>
    <t>M00523</t>
  </si>
  <si>
    <t>李永强</t>
  </si>
  <si>
    <t>M00540</t>
  </si>
  <si>
    <t>LIXIAOZHONG</t>
  </si>
  <si>
    <t>副总裁</t>
  </si>
  <si>
    <t>M00544</t>
  </si>
  <si>
    <t>王华</t>
  </si>
  <si>
    <t>M00550</t>
  </si>
  <si>
    <t>M00551</t>
  </si>
  <si>
    <t>常晓雯</t>
  </si>
  <si>
    <t>稽核培训岗</t>
  </si>
  <si>
    <t>M00560</t>
  </si>
  <si>
    <t>柳婷</t>
  </si>
  <si>
    <t>M00562</t>
  </si>
  <si>
    <t>李双双</t>
  </si>
  <si>
    <t>陈霞</t>
  </si>
  <si>
    <t>M00564</t>
  </si>
  <si>
    <t>奚勇春</t>
  </si>
  <si>
    <t>M00570</t>
  </si>
  <si>
    <t>余海霞</t>
  </si>
  <si>
    <t>M00577</t>
  </si>
  <si>
    <t>M00578</t>
  </si>
  <si>
    <t>刘妮</t>
  </si>
  <si>
    <t>M00583</t>
  </si>
  <si>
    <t>许莲容</t>
  </si>
  <si>
    <t>M00587</t>
  </si>
  <si>
    <t>闵峰晓雪</t>
  </si>
  <si>
    <t>M00592</t>
  </si>
  <si>
    <t>陆凯</t>
  </si>
  <si>
    <t>王琴</t>
  </si>
  <si>
    <t>M00593</t>
  </si>
  <si>
    <t>周威</t>
  </si>
  <si>
    <t>陆岳</t>
  </si>
  <si>
    <t>M00599</t>
  </si>
  <si>
    <t>资金测试组负责人</t>
  </si>
  <si>
    <t>M00611</t>
  </si>
  <si>
    <t>宋海如</t>
  </si>
  <si>
    <t>对公授信岗</t>
  </si>
  <si>
    <t>宋效林</t>
  </si>
  <si>
    <t>M00613</t>
  </si>
  <si>
    <t>张友俊</t>
  </si>
  <si>
    <t>M00615</t>
  </si>
  <si>
    <t>叶宁</t>
  </si>
  <si>
    <t>BI数据分析平台部</t>
  </si>
  <si>
    <t>BI数据分析平台部负责人</t>
  </si>
  <si>
    <t>M00618</t>
  </si>
  <si>
    <t>窦欣桐</t>
  </si>
  <si>
    <t>运营岗</t>
  </si>
  <si>
    <t>M00622</t>
  </si>
  <si>
    <t>于莉莎</t>
  </si>
  <si>
    <t>行政组负责人</t>
  </si>
  <si>
    <t>商务拓展岗</t>
  </si>
  <si>
    <t>M00636</t>
  </si>
  <si>
    <t>高坚英</t>
  </si>
  <si>
    <t>M00637</t>
  </si>
  <si>
    <t>稽核培训组负责人</t>
  </si>
  <si>
    <t>M00638</t>
  </si>
  <si>
    <t>卢永党</t>
  </si>
  <si>
    <t>M00641</t>
  </si>
  <si>
    <t>吴迪</t>
  </si>
  <si>
    <t>M00662</t>
  </si>
  <si>
    <t>张芳玲</t>
  </si>
  <si>
    <t>M00667</t>
  </si>
  <si>
    <t>卢纪红</t>
  </si>
  <si>
    <t>M00671</t>
  </si>
  <si>
    <t>苏志宇</t>
  </si>
  <si>
    <t>M00673</t>
  </si>
  <si>
    <t>何渊</t>
  </si>
  <si>
    <t>M00683</t>
  </si>
  <si>
    <t>王燕</t>
  </si>
  <si>
    <t>信贷风控部负责人</t>
  </si>
  <si>
    <t>M00684</t>
  </si>
  <si>
    <t>梁志鉴</t>
  </si>
  <si>
    <t>M00685</t>
  </si>
  <si>
    <t>余优迪</t>
  </si>
  <si>
    <t>贷后催收岗</t>
  </si>
  <si>
    <t>M00689</t>
  </si>
  <si>
    <t>孙志强</t>
  </si>
  <si>
    <t>M00690</t>
  </si>
  <si>
    <t>黄晓维</t>
  </si>
  <si>
    <t>M00693</t>
  </si>
  <si>
    <t>朱晓超</t>
  </si>
  <si>
    <t>M00704</t>
  </si>
  <si>
    <t>杜超</t>
  </si>
  <si>
    <t>M00713</t>
  </si>
  <si>
    <t>何美红</t>
  </si>
  <si>
    <t>M00718</t>
  </si>
  <si>
    <t>杨馨远</t>
  </si>
  <si>
    <t>M00735</t>
  </si>
  <si>
    <t>景婷婷</t>
  </si>
  <si>
    <t>财务分析组负责人</t>
  </si>
  <si>
    <t>M00736</t>
  </si>
  <si>
    <t>江静</t>
  </si>
  <si>
    <t>资金交易岗</t>
  </si>
  <si>
    <t>M00749</t>
  </si>
  <si>
    <t>周志军</t>
  </si>
  <si>
    <t>法律服务部</t>
  </si>
  <si>
    <t>法律服务部负责人</t>
  </si>
  <si>
    <t>上海移动组负责人</t>
  </si>
  <si>
    <t>大数据应用开发岗</t>
  </si>
  <si>
    <t>M00757</t>
  </si>
  <si>
    <t>肖林</t>
  </si>
  <si>
    <t>M00762</t>
  </si>
  <si>
    <t>徐韬</t>
  </si>
  <si>
    <t>首席监察官</t>
  </si>
  <si>
    <t>M00769</t>
  </si>
  <si>
    <t>梁晓</t>
  </si>
  <si>
    <t>M00770</t>
  </si>
  <si>
    <t>单冲</t>
  </si>
  <si>
    <t>王煜</t>
  </si>
  <si>
    <t>M00773</t>
  </si>
  <si>
    <t>蒋功媛</t>
  </si>
  <si>
    <t>系统及流程支持经理</t>
  </si>
  <si>
    <t>M00776</t>
  </si>
  <si>
    <t>陈铭佳</t>
  </si>
  <si>
    <t>M00779</t>
  </si>
  <si>
    <t>张影影</t>
  </si>
  <si>
    <t>平台测试组负责人</t>
  </si>
  <si>
    <t>M00780</t>
  </si>
  <si>
    <t>资产测试组负责人</t>
  </si>
  <si>
    <t>M00791</t>
  </si>
  <si>
    <t>王晓桐</t>
  </si>
  <si>
    <t>M00794</t>
  </si>
  <si>
    <t>张萌娟</t>
  </si>
  <si>
    <t>M00797</t>
  </si>
  <si>
    <t>高丽莎</t>
  </si>
  <si>
    <t>M00805</t>
  </si>
  <si>
    <t>杨聪聪</t>
  </si>
  <si>
    <t>M00813</t>
  </si>
  <si>
    <t>M00817</t>
  </si>
  <si>
    <t>浦中元</t>
  </si>
  <si>
    <t>桌面运维岗</t>
  </si>
  <si>
    <t>郭幸</t>
  </si>
  <si>
    <t>M00823</t>
  </si>
  <si>
    <t>吴军朝</t>
  </si>
  <si>
    <t>M00838</t>
  </si>
  <si>
    <t>刘家平</t>
  </si>
  <si>
    <t>M00843</t>
  </si>
  <si>
    <t>张保磊</t>
  </si>
  <si>
    <t>用户服务部</t>
  </si>
  <si>
    <t>用户服务主管</t>
  </si>
  <si>
    <t>王洪雨</t>
  </si>
  <si>
    <t>M00847</t>
  </si>
  <si>
    <t>凌显玲</t>
  </si>
  <si>
    <t>M00848</t>
  </si>
  <si>
    <t>董越洋</t>
  </si>
  <si>
    <t>M00849</t>
  </si>
  <si>
    <t>周金金</t>
  </si>
  <si>
    <t>M00867</t>
  </si>
  <si>
    <t>郑浩</t>
  </si>
  <si>
    <t>M00881</t>
  </si>
  <si>
    <t>客服经理</t>
  </si>
  <si>
    <t>M00887</t>
  </si>
  <si>
    <t>王芙云</t>
  </si>
  <si>
    <t>M00889</t>
  </si>
  <si>
    <t>冯迪</t>
  </si>
  <si>
    <t>M00893</t>
  </si>
  <si>
    <t>胡中宝</t>
  </si>
  <si>
    <t>M00895</t>
  </si>
  <si>
    <t>李印云</t>
  </si>
  <si>
    <t>M00903</t>
  </si>
  <si>
    <t>钟繁顺</t>
  </si>
  <si>
    <t>外访组负责人</t>
  </si>
  <si>
    <t>M00911</t>
  </si>
  <si>
    <t>朱建斌</t>
  </si>
  <si>
    <t>M00913</t>
  </si>
  <si>
    <t>李学建</t>
  </si>
  <si>
    <t>客服一组主管（成都）</t>
  </si>
  <si>
    <t>M00914</t>
  </si>
  <si>
    <t>周原修</t>
  </si>
  <si>
    <t>成都客服专员</t>
  </si>
  <si>
    <t>M00927</t>
  </si>
  <si>
    <t>丁升</t>
  </si>
  <si>
    <t>M00942</t>
  </si>
  <si>
    <t>林鸿志</t>
  </si>
  <si>
    <t>M00944</t>
  </si>
  <si>
    <t>顾成利</t>
  </si>
  <si>
    <t>办公系统组负责人</t>
  </si>
  <si>
    <t>M00957</t>
  </si>
  <si>
    <t>郝若阳</t>
  </si>
  <si>
    <t>M00958</t>
  </si>
  <si>
    <t>吴姣姣</t>
  </si>
  <si>
    <t>内控合规部</t>
  </si>
  <si>
    <t>内控岗</t>
  </si>
  <si>
    <t>韩佳贇</t>
  </si>
  <si>
    <t>客服岗</t>
  </si>
  <si>
    <t>M00968</t>
  </si>
  <si>
    <t>方煜东</t>
  </si>
  <si>
    <t>M00973</t>
  </si>
  <si>
    <t>董佳佳</t>
  </si>
  <si>
    <t>M00983</t>
  </si>
  <si>
    <t>迟晓祥</t>
  </si>
  <si>
    <t>成都质检岗</t>
  </si>
  <si>
    <t>M00999</t>
  </si>
  <si>
    <t>凌扉</t>
  </si>
  <si>
    <t>行政岗</t>
  </si>
  <si>
    <t>M01001</t>
  </si>
  <si>
    <t>卢丛丛</t>
  </si>
  <si>
    <t>M01010</t>
  </si>
  <si>
    <t>吴瑕</t>
  </si>
  <si>
    <t>M01011</t>
  </si>
  <si>
    <t>赵洋</t>
  </si>
  <si>
    <t>M01013</t>
  </si>
  <si>
    <t>俞俊烨</t>
  </si>
  <si>
    <t>M01014</t>
  </si>
  <si>
    <t>周奇</t>
  </si>
  <si>
    <t>M01028</t>
  </si>
  <si>
    <t>胡晨</t>
  </si>
  <si>
    <t>M01032</t>
  </si>
  <si>
    <t>戴真</t>
  </si>
  <si>
    <t>M01034</t>
  </si>
  <si>
    <t>李静婷</t>
  </si>
  <si>
    <t>M01036</t>
  </si>
  <si>
    <t>郑艳</t>
  </si>
  <si>
    <t>税务岗</t>
  </si>
  <si>
    <t>M01046</t>
  </si>
  <si>
    <t>方炜</t>
  </si>
  <si>
    <t>法律服务岗</t>
  </si>
  <si>
    <t>M01077</t>
  </si>
  <si>
    <t>陈园</t>
  </si>
  <si>
    <t>风控政策岗</t>
  </si>
  <si>
    <t>M01078</t>
  </si>
  <si>
    <t>黎先红</t>
  </si>
  <si>
    <t>M01086</t>
  </si>
  <si>
    <t>肖志超</t>
  </si>
  <si>
    <t>M01088</t>
  </si>
  <si>
    <t>黄子添</t>
  </si>
  <si>
    <t>M01094</t>
  </si>
  <si>
    <t>赵新</t>
  </si>
  <si>
    <t>M01100</t>
  </si>
  <si>
    <t>李子贡</t>
  </si>
  <si>
    <t>M01104</t>
  </si>
  <si>
    <t>石蔚明</t>
  </si>
  <si>
    <t>M01123</t>
  </si>
  <si>
    <t>范金福</t>
  </si>
  <si>
    <t>M01155</t>
  </si>
  <si>
    <t>吉豪</t>
  </si>
  <si>
    <t>M01156</t>
  </si>
  <si>
    <t>M01161</t>
  </si>
  <si>
    <t>钱广凯</t>
  </si>
  <si>
    <t>用户服务专员</t>
  </si>
  <si>
    <t>M01163</t>
  </si>
  <si>
    <t>樊长青</t>
  </si>
  <si>
    <t>M01174</t>
  </si>
  <si>
    <t>许金</t>
  </si>
  <si>
    <t>M01178</t>
  </si>
  <si>
    <t>郭琳</t>
  </si>
  <si>
    <t>M01182</t>
  </si>
  <si>
    <t>杨福碧</t>
  </si>
  <si>
    <t>会计核算组负责人</t>
  </si>
  <si>
    <t>上海客服岗</t>
  </si>
  <si>
    <t>M01188</t>
  </si>
  <si>
    <t>王洁</t>
  </si>
  <si>
    <t>M01195</t>
  </si>
  <si>
    <t>赵韦</t>
  </si>
  <si>
    <t>M01207</t>
  </si>
  <si>
    <t>杨月</t>
  </si>
  <si>
    <t>M01208</t>
  </si>
  <si>
    <t>马兵</t>
  </si>
  <si>
    <t>M01232</t>
  </si>
  <si>
    <t>张保川</t>
  </si>
  <si>
    <t>IOS研发岗</t>
  </si>
  <si>
    <t>M01267</t>
  </si>
  <si>
    <t>吴磊</t>
  </si>
  <si>
    <t>M01268</t>
  </si>
  <si>
    <t>刘小爽</t>
  </si>
  <si>
    <t>M01283</t>
  </si>
  <si>
    <t>许红赟</t>
  </si>
  <si>
    <t>M01306</t>
  </si>
  <si>
    <t>王潇濛</t>
  </si>
  <si>
    <t>M01307</t>
  </si>
  <si>
    <t>杨高</t>
  </si>
  <si>
    <t>资产产品经理</t>
  </si>
  <si>
    <t>M01310</t>
  </si>
  <si>
    <t>宋起名</t>
  </si>
  <si>
    <t>M01330</t>
  </si>
  <si>
    <t>M01331</t>
  </si>
  <si>
    <t>岳如意</t>
  </si>
  <si>
    <t>M01335</t>
  </si>
  <si>
    <t>范梦虹</t>
  </si>
  <si>
    <t>M01340</t>
  </si>
  <si>
    <t>张露文</t>
  </si>
  <si>
    <t>M01344</t>
  </si>
  <si>
    <t>常帅</t>
  </si>
  <si>
    <t>M01348</t>
  </si>
  <si>
    <t>王根根</t>
  </si>
  <si>
    <t>M01351</t>
  </si>
  <si>
    <t>信审部负责人</t>
  </si>
  <si>
    <t>M01388</t>
  </si>
  <si>
    <t>赵耀远</t>
  </si>
  <si>
    <t>架构工程师岗</t>
  </si>
  <si>
    <t>M01394</t>
  </si>
  <si>
    <t>质量控制部负责人</t>
  </si>
  <si>
    <t>M01402</t>
  </si>
  <si>
    <t>何文斌</t>
  </si>
  <si>
    <t>M01404</t>
  </si>
  <si>
    <t>朱源</t>
  </si>
  <si>
    <t>M01406</t>
  </si>
  <si>
    <t>李林林</t>
  </si>
  <si>
    <t>M01415</t>
  </si>
  <si>
    <t>严仍伟</t>
  </si>
  <si>
    <t>M01417</t>
  </si>
  <si>
    <t>夏群</t>
  </si>
  <si>
    <t>M01422</t>
  </si>
  <si>
    <t>罗敏</t>
  </si>
  <si>
    <t>M01424</t>
  </si>
  <si>
    <t>徐大伟</t>
  </si>
  <si>
    <t>M01425</t>
  </si>
  <si>
    <t>程庆龙</t>
  </si>
  <si>
    <t>M01429</t>
  </si>
  <si>
    <t>李博</t>
  </si>
  <si>
    <t>招聘实施岗</t>
  </si>
  <si>
    <t>M01445</t>
  </si>
  <si>
    <t>M01462</t>
  </si>
  <si>
    <t>刘瑜</t>
  </si>
  <si>
    <t>M01476</t>
  </si>
  <si>
    <t>吕文豪</t>
  </si>
  <si>
    <t>司机</t>
  </si>
  <si>
    <t>M01482</t>
  </si>
  <si>
    <t>郑坤</t>
  </si>
  <si>
    <t>M01519</t>
  </si>
  <si>
    <t>康琪</t>
  </si>
  <si>
    <t>M01522</t>
  </si>
  <si>
    <t>王雪姣</t>
  </si>
  <si>
    <t>M01523</t>
  </si>
  <si>
    <t>俞佩</t>
  </si>
  <si>
    <t>M01525</t>
  </si>
  <si>
    <t>徐罗俊</t>
  </si>
  <si>
    <t>M01544</t>
  </si>
  <si>
    <t>高瑞</t>
  </si>
  <si>
    <t>M01547</t>
  </si>
  <si>
    <t>顾利利</t>
  </si>
  <si>
    <t>M01558</t>
  </si>
  <si>
    <t>古倩雯</t>
  </si>
  <si>
    <t>M01567</t>
  </si>
  <si>
    <t>吴秀凤</t>
  </si>
  <si>
    <t>M01569</t>
  </si>
  <si>
    <t>M01571</t>
  </si>
  <si>
    <t>M01573</t>
  </si>
  <si>
    <t>李苗苗</t>
  </si>
  <si>
    <t>M01576</t>
  </si>
  <si>
    <t>张颖</t>
  </si>
  <si>
    <t>境外事务法务</t>
  </si>
  <si>
    <t>M01578</t>
  </si>
  <si>
    <t>莫俊杰</t>
  </si>
  <si>
    <t>项目经理</t>
  </si>
  <si>
    <t>M01587</t>
  </si>
  <si>
    <t>朱晓琳</t>
  </si>
  <si>
    <t>M01588</t>
  </si>
  <si>
    <t>张猛</t>
  </si>
  <si>
    <t>流动性管理岗</t>
  </si>
  <si>
    <t>M01589</t>
  </si>
  <si>
    <t>陈杜贝尔</t>
  </si>
  <si>
    <t>M01593</t>
  </si>
  <si>
    <t>林超</t>
  </si>
  <si>
    <t>M01594</t>
  </si>
  <si>
    <t>施铭洁</t>
  </si>
  <si>
    <t>M01605</t>
  </si>
  <si>
    <t>段悠然</t>
  </si>
  <si>
    <t>M01606</t>
  </si>
  <si>
    <t>余言</t>
  </si>
  <si>
    <t>数据运营负责人</t>
  </si>
  <si>
    <t>M01608</t>
  </si>
  <si>
    <t>赵斌</t>
  </si>
  <si>
    <t>M01612</t>
  </si>
  <si>
    <t>韩琳</t>
  </si>
  <si>
    <t>M01627</t>
  </si>
  <si>
    <t>项文宽</t>
  </si>
  <si>
    <t>M01628</t>
  </si>
  <si>
    <t>周鹏飞</t>
  </si>
  <si>
    <t>M01630</t>
  </si>
  <si>
    <t>王芬</t>
  </si>
  <si>
    <t>M01639</t>
  </si>
  <si>
    <t>应用运维组负责人</t>
  </si>
  <si>
    <t>M01645</t>
  </si>
  <si>
    <t>杨莉青</t>
  </si>
  <si>
    <t>M01652</t>
  </si>
  <si>
    <t>王鑫</t>
  </si>
  <si>
    <t>运维岗</t>
  </si>
  <si>
    <t>M01653</t>
  </si>
  <si>
    <t>职场管理组负责人</t>
  </si>
  <si>
    <t>M01654</t>
  </si>
  <si>
    <t>宋祺</t>
  </si>
  <si>
    <t>M01656</t>
  </si>
  <si>
    <t>首席策略官兼董事长助理</t>
  </si>
  <si>
    <t>P7</t>
  </si>
  <si>
    <t>M01660</t>
  </si>
  <si>
    <t>何东晨</t>
  </si>
  <si>
    <t>M01664</t>
  </si>
  <si>
    <t>王理翔</t>
  </si>
  <si>
    <t>M01668</t>
  </si>
  <si>
    <t>系统运维组负责人</t>
  </si>
  <si>
    <t>M01670</t>
  </si>
  <si>
    <t>宛豪杰</t>
  </si>
  <si>
    <t>M01674</t>
  </si>
  <si>
    <t>郤玉明</t>
  </si>
  <si>
    <t>M01684</t>
  </si>
  <si>
    <t>石勇</t>
  </si>
  <si>
    <t>M01685</t>
  </si>
  <si>
    <t>客户服务部负责人</t>
  </si>
  <si>
    <t>M01688</t>
  </si>
  <si>
    <t>朱峰</t>
  </si>
  <si>
    <t>M01690</t>
  </si>
  <si>
    <t>方涛</t>
  </si>
  <si>
    <t>M01691</t>
  </si>
  <si>
    <t>梁琦</t>
  </si>
  <si>
    <t>系统DBA岗</t>
  </si>
  <si>
    <t>M01692</t>
  </si>
  <si>
    <t>陈立涛</t>
  </si>
  <si>
    <t>M01693</t>
  </si>
  <si>
    <t>邓红丽</t>
  </si>
  <si>
    <t>M01696</t>
  </si>
  <si>
    <t>于雪莹</t>
  </si>
  <si>
    <t>机构资金部副总经理岗</t>
  </si>
  <si>
    <t>M01697</t>
  </si>
  <si>
    <t>李思艺</t>
  </si>
  <si>
    <t>渠道BD岗</t>
  </si>
  <si>
    <t>M01701</t>
  </si>
  <si>
    <t>仇美娟</t>
  </si>
  <si>
    <t>M01702</t>
  </si>
  <si>
    <t>韩叶青</t>
  </si>
  <si>
    <t>金融合作岗</t>
  </si>
  <si>
    <t>M01709</t>
  </si>
  <si>
    <t>马少青</t>
  </si>
  <si>
    <t>M01714</t>
  </si>
  <si>
    <t>陈思伊</t>
  </si>
  <si>
    <t>资金管理岗</t>
  </si>
  <si>
    <t>M01715</t>
  </si>
  <si>
    <t>霍宇韬</t>
  </si>
  <si>
    <t>M01724</t>
  </si>
  <si>
    <t>吴裔斐</t>
  </si>
  <si>
    <t>M01727</t>
  </si>
  <si>
    <t>王安天</t>
  </si>
  <si>
    <t>IT信息岗</t>
  </si>
  <si>
    <t>M01730</t>
  </si>
  <si>
    <t>国际事业团队负责人</t>
  </si>
  <si>
    <t>M01736</t>
  </si>
  <si>
    <t>媒体公关总监</t>
  </si>
  <si>
    <t>M01738</t>
  </si>
  <si>
    <t>薪酬福利组负责人</t>
  </si>
  <si>
    <t>于文浩</t>
  </si>
  <si>
    <t>M01739</t>
  </si>
  <si>
    <t>蒲爱琼</t>
  </si>
  <si>
    <t>M01747</t>
  </si>
  <si>
    <t>陆宇春</t>
  </si>
  <si>
    <t>M01748</t>
  </si>
  <si>
    <t>刘剑</t>
  </si>
  <si>
    <t>M01749</t>
  </si>
  <si>
    <t>刘璐</t>
  </si>
  <si>
    <t>M01750</t>
  </si>
  <si>
    <t>杨玉</t>
  </si>
  <si>
    <t>组织规划与配置部</t>
  </si>
  <si>
    <t>M01751</t>
  </si>
  <si>
    <t>顾钋</t>
  </si>
  <si>
    <t>M01753</t>
  </si>
  <si>
    <t>蒋贇来</t>
  </si>
  <si>
    <t>M01755</t>
  </si>
  <si>
    <t>程胜军</t>
  </si>
  <si>
    <t>M01759</t>
  </si>
  <si>
    <t>刘倩</t>
  </si>
  <si>
    <t>综合支持岗</t>
  </si>
  <si>
    <t>M01761</t>
  </si>
  <si>
    <t>吴荣红</t>
  </si>
  <si>
    <t>M01765</t>
  </si>
  <si>
    <t>李朝阳</t>
  </si>
  <si>
    <t>M01766</t>
  </si>
  <si>
    <t>李晋</t>
  </si>
  <si>
    <t>M01768</t>
  </si>
  <si>
    <t>魏朋成</t>
  </si>
  <si>
    <t>反欺诈策略岗</t>
  </si>
  <si>
    <t>M01769</t>
  </si>
  <si>
    <t>周敏</t>
  </si>
  <si>
    <t>M01772</t>
  </si>
  <si>
    <t>岳明</t>
  </si>
  <si>
    <t>C端BD岗</t>
  </si>
  <si>
    <t>M01774</t>
  </si>
  <si>
    <t>张乃平</t>
  </si>
  <si>
    <t>M01775</t>
  </si>
  <si>
    <t>用户服务部总监</t>
  </si>
  <si>
    <t>M01777</t>
  </si>
  <si>
    <t>刘永夫</t>
  </si>
  <si>
    <t>M01778</t>
  </si>
  <si>
    <t>宋长玲</t>
  </si>
  <si>
    <t>品牌公关岗</t>
  </si>
  <si>
    <t>M01784</t>
  </si>
  <si>
    <t>姜晚玉</t>
  </si>
  <si>
    <t>M01785</t>
  </si>
  <si>
    <t>牛和军</t>
  </si>
  <si>
    <t>M01788</t>
  </si>
  <si>
    <t>熊保华</t>
  </si>
  <si>
    <t>M01789</t>
  </si>
  <si>
    <t>何慧</t>
  </si>
  <si>
    <t>培训管理岗</t>
  </si>
  <si>
    <t>M01790</t>
  </si>
  <si>
    <t>员工发展组负责人</t>
  </si>
  <si>
    <t>M01791</t>
  </si>
  <si>
    <t>大智金科CEO</t>
  </si>
  <si>
    <t>M01795</t>
  </si>
  <si>
    <t>安景琨</t>
  </si>
  <si>
    <t>M01796</t>
  </si>
  <si>
    <t>张妍</t>
  </si>
  <si>
    <t>M01797</t>
  </si>
  <si>
    <t>魏静云</t>
  </si>
  <si>
    <t>HTML5开发岗</t>
  </si>
  <si>
    <t>M01798</t>
  </si>
  <si>
    <t>冯嘉杰</t>
  </si>
  <si>
    <t>M01799</t>
  </si>
  <si>
    <t>王倩倩</t>
  </si>
  <si>
    <t>数据分析岗</t>
  </si>
  <si>
    <t>M01800</t>
  </si>
  <si>
    <t>施艳芸</t>
  </si>
  <si>
    <t>彭海娜</t>
  </si>
  <si>
    <t>M01803</t>
  </si>
  <si>
    <t>周柏亨</t>
  </si>
  <si>
    <t>法诉岗</t>
  </si>
  <si>
    <t>M01805</t>
  </si>
  <si>
    <t>霍黎丽</t>
  </si>
  <si>
    <t>M01806</t>
  </si>
  <si>
    <t>赵朋</t>
  </si>
  <si>
    <t>资金客服组负责人</t>
  </si>
  <si>
    <t>M01807</t>
  </si>
  <si>
    <t>程康晖</t>
  </si>
  <si>
    <t>郭姣姣</t>
  </si>
  <si>
    <t>M01808</t>
  </si>
  <si>
    <t>陈晨</t>
  </si>
  <si>
    <t>M01810</t>
  </si>
  <si>
    <t>蒋嘉丽</t>
  </si>
  <si>
    <t>项目助理</t>
  </si>
  <si>
    <t>M01811</t>
  </si>
  <si>
    <t>张琳</t>
  </si>
  <si>
    <t>M01812</t>
  </si>
  <si>
    <t>翁唯皓</t>
  </si>
  <si>
    <t>M01814</t>
  </si>
  <si>
    <t>邢忠强</t>
  </si>
  <si>
    <t>M01815</t>
  </si>
  <si>
    <t>姚磊</t>
  </si>
  <si>
    <t>M01817</t>
  </si>
  <si>
    <t>项德拯</t>
  </si>
  <si>
    <t>M01821</t>
  </si>
  <si>
    <t>江家明</t>
  </si>
  <si>
    <t>M01823</t>
  </si>
  <si>
    <t>卓艳</t>
  </si>
  <si>
    <t>M01826</t>
  </si>
  <si>
    <t>陆侃</t>
  </si>
  <si>
    <t>M01827</t>
  </si>
  <si>
    <t>熊娟</t>
  </si>
  <si>
    <t>CFO秘书</t>
  </si>
  <si>
    <t>M01829</t>
  </si>
  <si>
    <t>李菁菁</t>
  </si>
  <si>
    <t>M01830</t>
  </si>
  <si>
    <t>马晓玥</t>
  </si>
  <si>
    <t>M01832</t>
  </si>
  <si>
    <t>何延锦</t>
  </si>
  <si>
    <t>M01834</t>
  </si>
  <si>
    <t>行政管理部负责人</t>
  </si>
  <si>
    <t>M01836</t>
  </si>
  <si>
    <t>赵坤</t>
  </si>
  <si>
    <t>M01837</t>
  </si>
  <si>
    <t>M01839</t>
  </si>
  <si>
    <t>王维林</t>
  </si>
  <si>
    <t>M01846</t>
  </si>
  <si>
    <t>杜朝晓</t>
  </si>
  <si>
    <t>新媒体运营岗</t>
  </si>
  <si>
    <t>M01847</t>
  </si>
  <si>
    <t>沈樑坤</t>
  </si>
  <si>
    <t>电销经理</t>
  </si>
  <si>
    <t>M01848</t>
  </si>
  <si>
    <t>谭惠</t>
  </si>
  <si>
    <t>M01849</t>
  </si>
  <si>
    <t>王巨波</t>
  </si>
  <si>
    <t>M01851</t>
  </si>
  <si>
    <t>代荣臣</t>
  </si>
  <si>
    <t>M01852</t>
  </si>
  <si>
    <t>首席人力官</t>
  </si>
  <si>
    <t>M01855</t>
  </si>
  <si>
    <t>高萌</t>
  </si>
  <si>
    <t>M01856</t>
  </si>
  <si>
    <t>王丽曼</t>
  </si>
  <si>
    <t>M01857</t>
  </si>
  <si>
    <t>王行</t>
  </si>
  <si>
    <t>M01859</t>
  </si>
  <si>
    <t>汪乐娜</t>
  </si>
  <si>
    <t>M01862</t>
  </si>
  <si>
    <t>黎欣璋</t>
  </si>
  <si>
    <t>M01863</t>
  </si>
  <si>
    <t>姚倩</t>
  </si>
  <si>
    <t>M01865</t>
  </si>
  <si>
    <t>胡甜甜</t>
  </si>
  <si>
    <t>M01866</t>
  </si>
  <si>
    <t>薛慧萍</t>
  </si>
  <si>
    <t>M01868</t>
  </si>
  <si>
    <t>陈桂</t>
  </si>
  <si>
    <t>M01869</t>
  </si>
  <si>
    <t>崔莹莹</t>
  </si>
  <si>
    <t>M01870</t>
  </si>
  <si>
    <t>钟顺敏</t>
  </si>
  <si>
    <t>电销专员</t>
  </si>
  <si>
    <t>M01871</t>
  </si>
  <si>
    <t>陈黎</t>
  </si>
  <si>
    <t>M01872</t>
  </si>
  <si>
    <t>王紫微</t>
  </si>
  <si>
    <t>M01874</t>
  </si>
  <si>
    <t>方喆</t>
  </si>
  <si>
    <t>M01878</t>
  </si>
  <si>
    <t>林志强</t>
  </si>
  <si>
    <t>M01882</t>
  </si>
  <si>
    <t>吕海霞</t>
  </si>
  <si>
    <t>M01887</t>
  </si>
  <si>
    <t>徐方艺</t>
  </si>
  <si>
    <t>M01889</t>
  </si>
  <si>
    <t>文方舟</t>
  </si>
  <si>
    <t>M01895</t>
  </si>
  <si>
    <t>任敏</t>
  </si>
  <si>
    <t>M01896</t>
  </si>
  <si>
    <t>王利民</t>
  </si>
  <si>
    <t>平面设计岗</t>
  </si>
  <si>
    <t>M01897</t>
  </si>
  <si>
    <t>曹亮</t>
  </si>
  <si>
    <t>M01901</t>
  </si>
  <si>
    <t>付晨</t>
  </si>
  <si>
    <t>B端BD岗</t>
  </si>
  <si>
    <t>M01903</t>
  </si>
  <si>
    <t>陈俊芳</t>
  </si>
  <si>
    <t>M01904</t>
  </si>
  <si>
    <t>顾敏杰</t>
  </si>
  <si>
    <t>M01905</t>
  </si>
  <si>
    <t>刘欢欢</t>
  </si>
  <si>
    <t>M01907</t>
  </si>
  <si>
    <t>李晟任</t>
  </si>
  <si>
    <t>M01908</t>
  </si>
  <si>
    <t>任艳</t>
  </si>
  <si>
    <t>M01912</t>
  </si>
  <si>
    <t>王瑞</t>
  </si>
  <si>
    <t>M01913</t>
  </si>
  <si>
    <t>康玲</t>
  </si>
  <si>
    <t>成都综合岗</t>
  </si>
  <si>
    <t>M01915</t>
  </si>
  <si>
    <t>张智强</t>
  </si>
  <si>
    <t>M01917</t>
  </si>
  <si>
    <t>王会杏</t>
  </si>
  <si>
    <t>M01918</t>
  </si>
  <si>
    <t>吴芳</t>
  </si>
  <si>
    <t>M01919</t>
  </si>
  <si>
    <t>云晴</t>
  </si>
  <si>
    <t>M01922</t>
  </si>
  <si>
    <t>樊明涛</t>
  </si>
  <si>
    <t>M01926</t>
  </si>
  <si>
    <t>黄倩倩</t>
  </si>
  <si>
    <t>M01927</t>
  </si>
  <si>
    <t>耿波</t>
  </si>
  <si>
    <t>M01929</t>
  </si>
  <si>
    <t>曹佳慧</t>
  </si>
  <si>
    <t>M01932</t>
  </si>
  <si>
    <t>张玉婷</t>
  </si>
  <si>
    <t>M01935</t>
  </si>
  <si>
    <t>李琼</t>
  </si>
  <si>
    <t>M01937</t>
  </si>
  <si>
    <t>李小语</t>
  </si>
  <si>
    <t>项目经理岗</t>
  </si>
  <si>
    <t>M01942</t>
  </si>
  <si>
    <t>张益恺</t>
  </si>
  <si>
    <t>M01945</t>
  </si>
  <si>
    <t>王阐艺</t>
  </si>
  <si>
    <t>项目助理岗</t>
  </si>
  <si>
    <t>M01946</t>
  </si>
  <si>
    <t>陈梦</t>
  </si>
  <si>
    <t>M01954</t>
  </si>
  <si>
    <t>李文静</t>
  </si>
  <si>
    <t>M01955</t>
  </si>
  <si>
    <t>李迪</t>
  </si>
  <si>
    <t>M01959</t>
  </si>
  <si>
    <t>蔡莹</t>
  </si>
  <si>
    <t>M01960</t>
  </si>
  <si>
    <t>何军</t>
  </si>
  <si>
    <t>活动策划经理</t>
  </si>
  <si>
    <t>M01962</t>
  </si>
  <si>
    <t>谈浩</t>
  </si>
  <si>
    <t>M01963</t>
  </si>
  <si>
    <t>何立建</t>
  </si>
  <si>
    <t>M01964</t>
  </si>
  <si>
    <t>季一青</t>
  </si>
  <si>
    <t>M01966</t>
  </si>
  <si>
    <t>周华靓</t>
  </si>
  <si>
    <t>资产管理岗</t>
  </si>
  <si>
    <t>M01969</t>
  </si>
  <si>
    <t>应一凡</t>
  </si>
  <si>
    <t>M01970</t>
  </si>
  <si>
    <t>冯岩</t>
  </si>
  <si>
    <t>业务副总裁助理</t>
  </si>
  <si>
    <t>M01975</t>
  </si>
  <si>
    <t>周烨钒</t>
  </si>
  <si>
    <t>自媒体运营专员</t>
  </si>
  <si>
    <t>M01978</t>
  </si>
  <si>
    <t>黄丽华</t>
  </si>
  <si>
    <t>M01981</t>
  </si>
  <si>
    <t>翁婷逸</t>
  </si>
  <si>
    <t>M01982</t>
  </si>
  <si>
    <t>刘海燕</t>
  </si>
  <si>
    <t>M01983</t>
  </si>
  <si>
    <t>何金</t>
  </si>
  <si>
    <t>M01984</t>
  </si>
  <si>
    <t>贾锐</t>
  </si>
  <si>
    <t>M01985</t>
  </si>
  <si>
    <t>李开其</t>
  </si>
  <si>
    <t>M01986</t>
  </si>
  <si>
    <t>关媛媛</t>
  </si>
  <si>
    <t>M01987</t>
  </si>
  <si>
    <t>魏珍</t>
  </si>
  <si>
    <t>雷婷</t>
  </si>
  <si>
    <t>M01990</t>
  </si>
  <si>
    <t>曹琴</t>
  </si>
  <si>
    <t>M01991</t>
  </si>
  <si>
    <t>李晨红</t>
  </si>
  <si>
    <t>M01992</t>
  </si>
  <si>
    <t>刘秀萍</t>
  </si>
  <si>
    <t>M01993</t>
  </si>
  <si>
    <t>宋明</t>
  </si>
  <si>
    <t>M01995</t>
  </si>
  <si>
    <t>罗南彬</t>
  </si>
  <si>
    <t>M01996</t>
  </si>
  <si>
    <t>罗梦林</t>
  </si>
  <si>
    <t>M01997</t>
  </si>
  <si>
    <t>陈莎莎</t>
  </si>
  <si>
    <t>M01998</t>
  </si>
  <si>
    <t>张雷</t>
  </si>
  <si>
    <t>M01999</t>
  </si>
  <si>
    <t>何娟</t>
  </si>
  <si>
    <t>M02000</t>
  </si>
  <si>
    <t>M02002</t>
  </si>
  <si>
    <t>蒙亚婷</t>
  </si>
  <si>
    <t>M02003</t>
  </si>
  <si>
    <t>M02004</t>
  </si>
  <si>
    <t>李战胜</t>
  </si>
  <si>
    <t>大数据工程师岗</t>
  </si>
  <si>
    <t>M02008</t>
  </si>
  <si>
    <t>刘海阳</t>
  </si>
  <si>
    <t>M02009</t>
  </si>
  <si>
    <t>章月链</t>
  </si>
  <si>
    <t>M02010</t>
  </si>
  <si>
    <t>黄威</t>
  </si>
  <si>
    <t>M02014</t>
  </si>
  <si>
    <t>胡伟</t>
  </si>
  <si>
    <t>SEO</t>
  </si>
  <si>
    <t>M02016</t>
  </si>
  <si>
    <t>袁郑玲</t>
  </si>
  <si>
    <t>UI设计师</t>
  </si>
  <si>
    <t>M02017</t>
  </si>
  <si>
    <t>首席技术官</t>
  </si>
  <si>
    <t>M02018</t>
  </si>
  <si>
    <t>风控经理</t>
  </si>
  <si>
    <t>M02019</t>
  </si>
  <si>
    <t>首席财务官</t>
  </si>
  <si>
    <t>M02020</t>
  </si>
  <si>
    <t>崔启梦</t>
  </si>
  <si>
    <t>品牌投放岗</t>
  </si>
  <si>
    <t>M02021</t>
  </si>
  <si>
    <t>策略经理</t>
  </si>
  <si>
    <t>M02023</t>
  </si>
  <si>
    <t>郝国文</t>
  </si>
  <si>
    <t>M02025</t>
  </si>
  <si>
    <t>鲁威</t>
  </si>
  <si>
    <t>M02026</t>
  </si>
  <si>
    <t>孙博远</t>
  </si>
  <si>
    <t>M02027</t>
  </si>
  <si>
    <t>张书行</t>
  </si>
  <si>
    <t>M02029</t>
  </si>
  <si>
    <t>邱金萍</t>
  </si>
  <si>
    <t>M02030</t>
  </si>
  <si>
    <t>张彩娟</t>
  </si>
  <si>
    <t>M02031</t>
  </si>
  <si>
    <t>刘赛</t>
  </si>
  <si>
    <t>M02038</t>
  </si>
  <si>
    <t>M02039</t>
  </si>
  <si>
    <t>朱红晨</t>
  </si>
  <si>
    <t>M02040</t>
  </si>
  <si>
    <t>许剑</t>
  </si>
  <si>
    <t>M02042</t>
  </si>
  <si>
    <t>孙善银</t>
  </si>
  <si>
    <t>M02045</t>
  </si>
  <si>
    <t>赵海涛</t>
  </si>
  <si>
    <t>M02046</t>
  </si>
  <si>
    <t>吴聪</t>
  </si>
  <si>
    <t>M02047</t>
  </si>
  <si>
    <t>欧阳玲宁</t>
  </si>
  <si>
    <t>M02048</t>
  </si>
  <si>
    <t>张双雷</t>
  </si>
  <si>
    <t>M02050</t>
  </si>
  <si>
    <t>王利强</t>
  </si>
  <si>
    <t>M02051</t>
  </si>
  <si>
    <t>钟伟斌</t>
  </si>
  <si>
    <t>M02056</t>
  </si>
  <si>
    <t>丁娜</t>
  </si>
  <si>
    <t>M02059</t>
  </si>
  <si>
    <t>丁家栋</t>
  </si>
  <si>
    <t>开发经理</t>
  </si>
  <si>
    <t>M02063</t>
  </si>
  <si>
    <t>邢彦梅</t>
  </si>
  <si>
    <t>M02064</t>
  </si>
  <si>
    <t>马俊娜</t>
  </si>
  <si>
    <t>M02065</t>
  </si>
  <si>
    <t>刘强</t>
  </si>
  <si>
    <t>M02066</t>
  </si>
  <si>
    <t>叶成林</t>
  </si>
  <si>
    <t>M02068</t>
  </si>
  <si>
    <t>尹麒贺</t>
  </si>
  <si>
    <t>M02069</t>
  </si>
  <si>
    <t>黎斌</t>
  </si>
  <si>
    <t>M02070</t>
  </si>
  <si>
    <t>索明考</t>
  </si>
  <si>
    <t>M02071</t>
  </si>
  <si>
    <t>M02072</t>
  </si>
  <si>
    <t>资金中心总经理</t>
  </si>
  <si>
    <t>M02073</t>
  </si>
  <si>
    <t>朱小林</t>
  </si>
  <si>
    <t>M02074</t>
  </si>
  <si>
    <t>林军</t>
  </si>
  <si>
    <t>M02077</t>
  </si>
  <si>
    <t>孙亚周</t>
  </si>
  <si>
    <t>M02079</t>
  </si>
  <si>
    <t>闵苗</t>
  </si>
  <si>
    <t>M02080</t>
  </si>
  <si>
    <t>周肖青</t>
  </si>
  <si>
    <t>M02085</t>
  </si>
  <si>
    <t>翟上</t>
  </si>
  <si>
    <t>M02087</t>
  </si>
  <si>
    <t>于文波</t>
  </si>
  <si>
    <t>M02088</t>
  </si>
  <si>
    <t>架构设计部负责人</t>
  </si>
  <si>
    <t>M02089</t>
  </si>
  <si>
    <t>苏燕晖</t>
  </si>
  <si>
    <t>M02090</t>
  </si>
  <si>
    <t>游冠东</t>
  </si>
  <si>
    <t>线下对接运营岗</t>
  </si>
  <si>
    <t>M02091</t>
  </si>
  <si>
    <t>袁鹏来</t>
  </si>
  <si>
    <t>M02092</t>
  </si>
  <si>
    <t>齐伟亚</t>
  </si>
  <si>
    <t>M02093</t>
  </si>
  <si>
    <t>刘佳星</t>
  </si>
  <si>
    <t>M02094</t>
  </si>
  <si>
    <t>徐胜强</t>
  </si>
  <si>
    <t>M02098</t>
  </si>
  <si>
    <t>刘德龙</t>
  </si>
  <si>
    <t>M02099</t>
  </si>
  <si>
    <t>靳旭光</t>
  </si>
  <si>
    <t>M02100</t>
  </si>
  <si>
    <t>方友慧</t>
  </si>
  <si>
    <t>M02101</t>
  </si>
  <si>
    <t>袁杰</t>
  </si>
  <si>
    <t>M02102</t>
  </si>
  <si>
    <t>黎婵</t>
  </si>
  <si>
    <t>M02103</t>
  </si>
  <si>
    <t>李赟</t>
  </si>
  <si>
    <t>技术岗</t>
  </si>
  <si>
    <t>M02104</t>
  </si>
  <si>
    <t>马朝华</t>
  </si>
  <si>
    <t>M02105</t>
  </si>
  <si>
    <t>彭佳春</t>
  </si>
  <si>
    <t>M02106</t>
  </si>
  <si>
    <t>陈婷</t>
  </si>
  <si>
    <t>投资顾问</t>
  </si>
  <si>
    <t>M02107</t>
  </si>
  <si>
    <t>龙陶</t>
  </si>
  <si>
    <t>M02108</t>
  </si>
  <si>
    <t>梁新波</t>
  </si>
  <si>
    <t>M02109</t>
  </si>
  <si>
    <t>王霄</t>
  </si>
  <si>
    <t>资金会计岗</t>
  </si>
  <si>
    <t>M01894</t>
  </si>
  <si>
    <t>赵玥</t>
  </si>
  <si>
    <t>M01979</t>
  </si>
  <si>
    <t>陆晓燕</t>
  </si>
  <si>
    <t>M00542</t>
  </si>
  <si>
    <t>米菊平</t>
  </si>
  <si>
    <t>保洁岗</t>
  </si>
  <si>
    <t>M02110</t>
  </si>
  <si>
    <t>M02112</t>
  </si>
  <si>
    <t>架构产品岗</t>
  </si>
  <si>
    <t>M02113</t>
  </si>
  <si>
    <t>邬萍</t>
  </si>
  <si>
    <t>M02114</t>
  </si>
  <si>
    <t>司李龙</t>
  </si>
  <si>
    <t>M02115</t>
  </si>
  <si>
    <t>M02117</t>
  </si>
  <si>
    <t>M02118</t>
  </si>
  <si>
    <t>肖志毅</t>
  </si>
  <si>
    <t>M02119</t>
  </si>
  <si>
    <t>M02120</t>
  </si>
  <si>
    <t>王佳杰</t>
  </si>
  <si>
    <t>王芳</t>
  </si>
  <si>
    <t>刘洋</t>
  </si>
  <si>
    <t>M02121</t>
  </si>
  <si>
    <t>财富运营部负责人</t>
  </si>
  <si>
    <t>M02122</t>
  </si>
  <si>
    <t>招聘配置组负责人</t>
  </si>
  <si>
    <t>M02124</t>
  </si>
  <si>
    <t>吴子传</t>
  </si>
  <si>
    <t>M02125</t>
  </si>
  <si>
    <t>周理瑶</t>
  </si>
  <si>
    <t>市场品牌岗</t>
  </si>
  <si>
    <t>M02126</t>
  </si>
  <si>
    <t>代小虎</t>
  </si>
  <si>
    <t>M02127</t>
  </si>
  <si>
    <t>产品经理岗</t>
  </si>
  <si>
    <t>M02128</t>
  </si>
  <si>
    <t>测试岗</t>
  </si>
  <si>
    <t>M02129</t>
  </si>
  <si>
    <t>莫瑞海</t>
  </si>
  <si>
    <t>资深JAVA开发岗</t>
  </si>
  <si>
    <t>M02130</t>
  </si>
  <si>
    <t>M02131</t>
  </si>
  <si>
    <t>陈嘉鋆</t>
  </si>
  <si>
    <t>M02132</t>
  </si>
  <si>
    <t>石涛</t>
  </si>
  <si>
    <t>薪酬管理岗</t>
  </si>
  <si>
    <t>M02133</t>
  </si>
  <si>
    <t>M02134</t>
  </si>
  <si>
    <t>徐丽娟</t>
  </si>
  <si>
    <t>组织规划组负责人</t>
  </si>
  <si>
    <t>M01560</t>
  </si>
  <si>
    <t>何丰</t>
  </si>
  <si>
    <t>BD岗</t>
  </si>
  <si>
    <t>M02135</t>
  </si>
  <si>
    <t>李昶键</t>
  </si>
  <si>
    <t>电话销售</t>
  </si>
  <si>
    <t>M02136</t>
  </si>
  <si>
    <t>康永敏</t>
  </si>
  <si>
    <t>M02137</t>
  </si>
  <si>
    <t>彭茜敏</t>
  </si>
  <si>
    <t>M02138</t>
  </si>
  <si>
    <t>严双双</t>
  </si>
  <si>
    <t>M02139</t>
  </si>
  <si>
    <t>伍小玲</t>
  </si>
  <si>
    <t>M02140</t>
  </si>
  <si>
    <t>李昀臻</t>
  </si>
  <si>
    <t>M02141</t>
  </si>
  <si>
    <t>刘亚辉</t>
  </si>
  <si>
    <t>M02142</t>
  </si>
  <si>
    <t>李财</t>
  </si>
  <si>
    <t>M02143</t>
  </si>
  <si>
    <t>熊祥霞</t>
  </si>
  <si>
    <t>M02144</t>
  </si>
  <si>
    <t>M02146</t>
  </si>
  <si>
    <t>王永杰</t>
  </si>
  <si>
    <t>COO</t>
  </si>
  <si>
    <t>M02147</t>
  </si>
  <si>
    <t>贾传秀</t>
  </si>
  <si>
    <t>M02150</t>
  </si>
  <si>
    <t>刘杰</t>
  </si>
  <si>
    <t>区域负责人</t>
  </si>
  <si>
    <t>评估结果校验：</t>
    <rPh sb="0" eb="1">
      <t>p g</t>
    </rPh>
    <rPh sb="2" eb="3">
      <t>jie guo</t>
    </rPh>
    <rPh sb="4" eb="5">
      <t>jiao yan</t>
    </rPh>
    <phoneticPr fontId="1" type="noConversion"/>
  </si>
  <si>
    <t>评估结果等级分布</t>
    <rPh sb="0" eb="1">
      <t>p gu</t>
    </rPh>
    <rPh sb="2" eb="3">
      <t>jie guo</t>
    </rPh>
    <rPh sb="4" eb="5">
      <t>deng ji</t>
    </rPh>
    <rPh sb="6" eb="7">
      <t>fen bu</t>
    </rPh>
    <phoneticPr fontId="1" type="noConversion"/>
  </si>
  <si>
    <t>是否符合规则</t>
    <rPh sb="0" eb="1">
      <t>shi f</t>
    </rPh>
    <rPh sb="2" eb="3">
      <t>fu he</t>
    </rPh>
    <rPh sb="4" eb="5">
      <t>gui z</t>
    </rPh>
    <phoneticPr fontId="1" type="noConversion"/>
  </si>
  <si>
    <t>所属中心名称</t>
    <rPh sb="0" eb="1">
      <t>suo shu</t>
    </rPh>
    <rPh sb="2" eb="3">
      <t>zh x</t>
    </rPh>
    <rPh sb="4" eb="5">
      <t>m ch</t>
    </rPh>
    <phoneticPr fontId="1" type="noConversion"/>
  </si>
  <si>
    <t>二级部门</t>
    <rPh sb="0" eb="1">
      <t>er ji</t>
    </rPh>
    <rPh sb="2" eb="3">
      <t>bu men</t>
    </rPh>
    <phoneticPr fontId="1" type="noConversion"/>
  </si>
  <si>
    <t>岗位名称</t>
    <rPh sb="0" eb="1">
      <t>g wei</t>
    </rPh>
    <rPh sb="2" eb="3">
      <t>m ch</t>
    </rPh>
    <phoneticPr fontId="1" type="noConversion"/>
  </si>
  <si>
    <t>职级</t>
    <rPh sb="0" eb="1">
      <t>zhi ji</t>
    </rPh>
    <phoneticPr fontId="1" type="noConversion"/>
  </si>
  <si>
    <t>入职时间</t>
    <rPh sb="0" eb="1">
      <t>ru zhi</t>
    </rPh>
    <rPh sb="2" eb="3">
      <t>shi jian</t>
    </rPh>
    <phoneticPr fontId="1" type="noConversion"/>
  </si>
  <si>
    <t>直接上级姓名</t>
    <rPh sb="0" eb="1">
      <t>zhi jie</t>
    </rPh>
    <rPh sb="2" eb="3">
      <t>shang ji</t>
    </rPh>
    <rPh sb="4" eb="5">
      <t>xing m</t>
    </rPh>
    <phoneticPr fontId="1" type="noConversion"/>
  </si>
  <si>
    <t>绩效评估得分
（100分制）</t>
    <rPh sb="0" eb="1">
      <t>ji x</t>
    </rPh>
    <rPh sb="2" eb="3">
      <t>p gu</t>
    </rPh>
    <rPh sb="4" eb="5">
      <t>de fen</t>
    </rPh>
    <rPh sb="12" eb="13">
      <t>zhi</t>
    </rPh>
    <phoneticPr fontId="1" type="noConversion"/>
  </si>
  <si>
    <t>排名组名称
（如xx部门/xx团队）</t>
    <rPh sb="0" eb="1">
      <t>pai ming zu</t>
    </rPh>
    <rPh sb="3" eb="4">
      <t>ming ch</t>
    </rPh>
    <rPh sb="7" eb="8">
      <t>ru</t>
    </rPh>
    <rPh sb="10" eb="11">
      <t>bu men</t>
    </rPh>
    <rPh sb="15" eb="16">
      <t>tuan dui</t>
    </rPh>
    <phoneticPr fontId="1" type="noConversion"/>
  </si>
  <si>
    <t>绩效排名
（正序，各排名组单独排名）</t>
    <rPh sb="0" eb="1">
      <t>ji x</t>
    </rPh>
    <rPh sb="2" eb="3">
      <t>pai ming</t>
    </rPh>
    <rPh sb="9" eb="10">
      <t>ge</t>
    </rPh>
    <rPh sb="10" eb="11">
      <t>pai m zu</t>
    </rPh>
    <rPh sb="13" eb="14">
      <t>dan du</t>
    </rPh>
    <rPh sb="15" eb="16">
      <t>pai m</t>
    </rPh>
    <phoneticPr fontId="1" type="noConversion"/>
  </si>
  <si>
    <t>绩效等级
（S、A、B、C、D）</t>
    <rPh sb="0" eb="1">
      <t>ji x</t>
    </rPh>
    <rPh sb="2" eb="3">
      <t>deng ji</t>
    </rPh>
    <phoneticPr fontId="1" type="noConversion"/>
  </si>
  <si>
    <t>备注</t>
    <rPh sb="0" eb="1">
      <t>bei zhu</t>
    </rPh>
    <phoneticPr fontId="1" type="noConversion"/>
  </si>
  <si>
    <t>中心绩效等级：</t>
    <phoneticPr fontId="1" type="noConversion"/>
  </si>
  <si>
    <t>A</t>
    <phoneticPr fontId="1" type="noConversion"/>
  </si>
  <si>
    <t>B</t>
    <phoneticPr fontId="1" type="noConversion"/>
  </si>
  <si>
    <t>中心绩效等级</t>
    <phoneticPr fontId="1" type="noConversion"/>
  </si>
  <si>
    <t>个人绩效等级</t>
    <phoneticPr fontId="1" type="noConversion"/>
  </si>
  <si>
    <t>S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</si>
  <si>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</si>
  <si>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</si>
  <si>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</si>
  <si>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S</t>
    <phoneticPr fontId="1" type="noConversion"/>
  </si>
  <si>
    <t>C</t>
    <phoneticPr fontId="1" type="noConversion"/>
  </si>
  <si>
    <t>绩效等级</t>
    <rPh sb="0" eb="1">
      <t>ji x</t>
    </rPh>
    <rPh sb="2" eb="3">
      <t>deng jifen bu</t>
    </rPh>
    <phoneticPr fontId="1" type="noConversion"/>
  </si>
  <si>
    <t>绩效分布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</si>
  <si>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</si>
  <si>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</si>
  <si>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</si>
  <si>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M02151</t>
  </si>
  <si>
    <t>丁龙飞</t>
  </si>
  <si>
    <t>技术项目总监</t>
  </si>
  <si>
    <t>大智金科执行副总裁</t>
  </si>
  <si>
    <t>内控合规总监</t>
  </si>
  <si>
    <t>组织规划与配置部负责人</t>
  </si>
  <si>
    <t>M02152</t>
  </si>
  <si>
    <t>毛柳</t>
  </si>
  <si>
    <t>M02153</t>
  </si>
  <si>
    <t>雷含雨</t>
  </si>
  <si>
    <t>催收B1组催收主管</t>
  </si>
  <si>
    <t>催收A2组催收主管</t>
  </si>
  <si>
    <t>电催负责人（暂）</t>
  </si>
  <si>
    <t>外地电催催收主管</t>
  </si>
  <si>
    <t>催收B2组催收主管</t>
  </si>
  <si>
    <t>催收A1组催收主管</t>
  </si>
  <si>
    <t>上海电催A组负责人</t>
  </si>
  <si>
    <t>上海电催B组负责人</t>
  </si>
  <si>
    <t>外访专员</t>
  </si>
  <si>
    <t>梁辰</t>
  </si>
  <si>
    <t>盖芳傑</t>
  </si>
  <si>
    <t>B</t>
    <phoneticPr fontId="1" type="noConversion"/>
  </si>
  <si>
    <t>B</t>
    <phoneticPr fontId="1" type="noConversion"/>
  </si>
  <si>
    <t>B</t>
    <phoneticPr fontId="1" type="noConversion"/>
  </si>
  <si>
    <t>B</t>
    <phoneticPr fontId="1" type="noConversion"/>
  </si>
  <si>
    <t>序号</t>
    <phoneticPr fontId="1" type="noConversion"/>
  </si>
  <si>
    <t>绩效分布目标</t>
    <phoneticPr fontId="1" type="noConversion"/>
  </si>
  <si>
    <t>序号</t>
    <phoneticPr fontId="1" type="noConversion"/>
  </si>
  <si>
    <t>序号</t>
    <phoneticPr fontId="1" type="noConversion"/>
  </si>
  <si>
    <t>序号</t>
    <phoneticPr fontId="1" type="noConversion"/>
  </si>
  <si>
    <t>序号</t>
    <phoneticPr fontId="1" type="noConversion"/>
  </si>
  <si>
    <t>注：绩效等级比例浮动规则具体见《2019年一季度绩效检视通知》</t>
    <phoneticPr fontId="1" type="noConversion"/>
  </si>
  <si>
    <t>2019年员工绩效评估结果汇总表
（中心总）</t>
    <rPh sb="0" eb="1">
      <t>fu jain</t>
    </rPh>
    <rPh sb="9" eb="10">
      <t>nian</t>
    </rPh>
    <rPh sb="10" eb="11">
      <t>yuan gong</t>
    </rPh>
    <rPh sb="12" eb="13">
      <t>ji x</t>
    </rPh>
    <rPh sb="14" eb="15">
      <t>p gu</t>
    </rPh>
    <rPh sb="16" eb="17">
      <t>jie guo</t>
    </rPh>
    <rPh sb="18" eb="19">
      <t>hui z bzh x</t>
    </rPh>
    <phoneticPr fontId="1" type="noConversion"/>
  </si>
  <si>
    <t>2019年员工绩效评估结果汇总表
（财务中心）</t>
    <rPh sb="0" eb="1">
      <t>fu jain</t>
    </rPh>
    <rPh sb="9" eb="10">
      <t>nian</t>
    </rPh>
    <rPh sb="10" eb="11">
      <t>yuan gong</t>
    </rPh>
    <rPh sb="12" eb="13">
      <t>ji x</t>
    </rPh>
    <rPh sb="14" eb="15">
      <t>p gu</t>
    </rPh>
    <rPh sb="16" eb="17">
      <t>jie guo</t>
    </rPh>
    <rPh sb="18" eb="19">
      <t>hui z bzh x</t>
    </rPh>
    <phoneticPr fontId="1" type="noConversion"/>
  </si>
  <si>
    <t>2019年员工绩效评估结果汇总表
（人力资源中心）</t>
    <rPh sb="0" eb="1">
      <t>fu jain</t>
    </rPh>
    <rPh sb="9" eb="10">
      <t>nian</t>
    </rPh>
    <rPh sb="10" eb="11">
      <t>yuan gong</t>
    </rPh>
    <rPh sb="12" eb="13">
      <t>ji x</t>
    </rPh>
    <rPh sb="14" eb="15">
      <t>p gu</t>
    </rPh>
    <rPh sb="16" eb="17">
      <t>jie guo</t>
    </rPh>
    <rPh sb="18" eb="19">
      <t>hui z bzh x</t>
    </rPh>
    <phoneticPr fontId="1" type="noConversion"/>
  </si>
  <si>
    <t>2019年员工绩效评估结果汇总表
（内控法务中心）</t>
    <rPh sb="0" eb="1">
      <t>fu jain</t>
    </rPh>
    <rPh sb="9" eb="10">
      <t>nian</t>
    </rPh>
    <rPh sb="10" eb="11">
      <t>yuan gong</t>
    </rPh>
    <rPh sb="12" eb="13">
      <t>ji x</t>
    </rPh>
    <rPh sb="14" eb="15">
      <t>p gu</t>
    </rPh>
    <rPh sb="16" eb="17">
      <t>jie guo</t>
    </rPh>
    <rPh sb="18" eb="19">
      <t>hui z bzh x</t>
    </rPh>
    <phoneticPr fontId="1" type="noConversion"/>
  </si>
  <si>
    <t>2019年员工绩效评估结果汇总表
（资产板块）</t>
    <rPh sb="0" eb="1">
      <t>fu jain</t>
    </rPh>
    <rPh sb="9" eb="10">
      <t>nian</t>
    </rPh>
    <rPh sb="10" eb="11">
      <t>yuan gong</t>
    </rPh>
    <rPh sb="12" eb="13">
      <t>ji x</t>
    </rPh>
    <rPh sb="14" eb="15">
      <t>p gu</t>
    </rPh>
    <rPh sb="16" eb="17">
      <t>jie guo</t>
    </rPh>
    <rPh sb="18" eb="19">
      <t>hui z bzh x</t>
    </rPh>
    <phoneticPr fontId="1" type="noConversion"/>
  </si>
  <si>
    <t>2019年员工绩效评估结果汇总表
（资金板块）</t>
    <rPh sb="0" eb="1">
      <t>fu jain</t>
    </rPh>
    <rPh sb="9" eb="10">
      <t>nian</t>
    </rPh>
    <rPh sb="10" eb="11">
      <t>yuan gong</t>
    </rPh>
    <rPh sb="12" eb="13">
      <t>ji x</t>
    </rPh>
    <rPh sb="14" eb="15">
      <t>p gu</t>
    </rPh>
    <rPh sb="16" eb="17">
      <t>jie guo</t>
    </rPh>
    <rPh sb="18" eb="19">
      <t>hui z bzh x</t>
    </rPh>
    <phoneticPr fontId="1" type="noConversion"/>
  </si>
  <si>
    <t>2019年员工绩效评估结果汇总表
（金融科技）</t>
    <rPh sb="0" eb="1">
      <t>fu jain</t>
    </rPh>
    <rPh sb="9" eb="10">
      <t>nian</t>
    </rPh>
    <rPh sb="10" eb="11">
      <t>yuan gong</t>
    </rPh>
    <rPh sb="12" eb="13">
      <t>ji x</t>
    </rPh>
    <rPh sb="14" eb="15">
      <t>p gu</t>
    </rPh>
    <rPh sb="16" eb="17">
      <t>jie guo</t>
    </rPh>
    <rPh sb="18" eb="19">
      <t>hui z bzh x</t>
    </rPh>
    <phoneticPr fontId="1" type="noConversion"/>
  </si>
  <si>
    <t>M00001</t>
  </si>
  <si>
    <t>M10</t>
  </si>
  <si>
    <t>徐颖</t>
  </si>
  <si>
    <t>JohnDonovan</t>
  </si>
  <si>
    <t>WilfredDaye</t>
  </si>
  <si>
    <t>M02159</t>
  </si>
  <si>
    <t>杨笑一</t>
  </si>
  <si>
    <t>区域总经理</t>
  </si>
  <si>
    <t>资产板块</t>
  </si>
  <si>
    <t>资产产品部</t>
  </si>
  <si>
    <t>M02160</t>
  </si>
  <si>
    <t>宋伟冬</t>
  </si>
  <si>
    <t>金融产品岗</t>
  </si>
  <si>
    <t>M02163</t>
  </si>
  <si>
    <t>卓敬之</t>
  </si>
  <si>
    <t>医美医疗板块</t>
  </si>
  <si>
    <t>医美事业部副总经理</t>
  </si>
  <si>
    <t>M02167</t>
  </si>
  <si>
    <t>胡斌</t>
  </si>
  <si>
    <t>业务助理总裁</t>
  </si>
  <si>
    <t>M02155</t>
  </si>
  <si>
    <t>M02157</t>
  </si>
  <si>
    <t>卢书利</t>
  </si>
  <si>
    <t>M02158</t>
  </si>
  <si>
    <t>潘星</t>
  </si>
  <si>
    <t>M02161</t>
  </si>
  <si>
    <t>李增欢</t>
  </si>
  <si>
    <t>M02164</t>
  </si>
  <si>
    <t>孙慧仪</t>
  </si>
  <si>
    <t>市场主管</t>
  </si>
  <si>
    <t>项目总监</t>
  </si>
  <si>
    <t>BD管理岗</t>
  </si>
  <si>
    <t>现金分期事业部</t>
  </si>
  <si>
    <t>p1</t>
  </si>
  <si>
    <t>安景坤</t>
  </si>
  <si>
    <t>M01930</t>
  </si>
  <si>
    <t>王欣怡</t>
  </si>
  <si>
    <t>代运营事业部</t>
  </si>
  <si>
    <t>业务BD</t>
  </si>
  <si>
    <t>M00203</t>
  </si>
  <si>
    <t>医美医疗风控部</t>
  </si>
  <si>
    <t>M02166</t>
  </si>
  <si>
    <t>夏茂源</t>
  </si>
  <si>
    <t>贷后市场主管</t>
  </si>
  <si>
    <t>M02169</t>
  </si>
  <si>
    <t>施倩倩</t>
  </si>
  <si>
    <t>M02170</t>
  </si>
  <si>
    <t>方正</t>
  </si>
  <si>
    <t>M02176</t>
  </si>
  <si>
    <t>陈玄</t>
  </si>
  <si>
    <t>M02156</t>
  </si>
  <si>
    <t>曾锋</t>
  </si>
  <si>
    <t>M02172</t>
  </si>
  <si>
    <t>周号</t>
  </si>
  <si>
    <t>贷超事业部</t>
  </si>
  <si>
    <t>借百家项目负责人</t>
  </si>
  <si>
    <t>M02173</t>
  </si>
  <si>
    <t>王新田</t>
  </si>
  <si>
    <t>M02178</t>
  </si>
  <si>
    <t>陈梅</t>
  </si>
  <si>
    <t>M02179</t>
  </si>
  <si>
    <t>张祥</t>
  </si>
  <si>
    <t>B1-2</t>
  </si>
  <si>
    <t>M02181</t>
  </si>
  <si>
    <t>张英超</t>
  </si>
  <si>
    <t>商务BD</t>
  </si>
  <si>
    <t>M02183</t>
  </si>
  <si>
    <t>李健</t>
  </si>
  <si>
    <t>M02184</t>
  </si>
  <si>
    <t>何敏</t>
  </si>
  <si>
    <t>M02187</t>
  </si>
  <si>
    <t>卢呵兵</t>
  </si>
  <si>
    <t>资金板块</t>
  </si>
  <si>
    <t>M02165</t>
  </si>
  <si>
    <t>常秀芳</t>
  </si>
  <si>
    <t>理财顾问</t>
  </si>
  <si>
    <t>M02168</t>
  </si>
  <si>
    <t>丁海林</t>
  </si>
  <si>
    <t>M02171</t>
  </si>
  <si>
    <t>杨涛</t>
  </si>
  <si>
    <t>M02174</t>
  </si>
  <si>
    <t>李旭日</t>
  </si>
  <si>
    <t>M02175</t>
  </si>
  <si>
    <t>魏建军</t>
  </si>
  <si>
    <t>上海技术部</t>
  </si>
  <si>
    <t>M02162</t>
  </si>
  <si>
    <t>杨玉婷</t>
  </si>
  <si>
    <t>北京技术部</t>
  </si>
  <si>
    <t>M02177</t>
  </si>
  <si>
    <t>黄琴倩</t>
  </si>
  <si>
    <t>400客服</t>
  </si>
  <si>
    <t>M02180</t>
  </si>
  <si>
    <t>费富亮</t>
  </si>
  <si>
    <t>M02182</t>
  </si>
  <si>
    <t>黄秀红</t>
  </si>
  <si>
    <t>M02185</t>
  </si>
  <si>
    <t>吕红</t>
  </si>
  <si>
    <t>M02188</t>
  </si>
  <si>
    <t>孟祥一</t>
  </si>
  <si>
    <t>金融科技板块</t>
  </si>
  <si>
    <t>机构资金拓展部</t>
  </si>
  <si>
    <t>平台研发组负责人</t>
  </si>
  <si>
    <t>肖尧</t>
  </si>
  <si>
    <t>黄香梅</t>
  </si>
  <si>
    <t>吴曹敏</t>
  </si>
  <si>
    <t>齐玉婷</t>
  </si>
  <si>
    <t>项目管理及平台产品部</t>
  </si>
  <si>
    <t>董良</t>
  </si>
  <si>
    <t>平台产品管理组负责人</t>
  </si>
  <si>
    <t>张站站</t>
  </si>
  <si>
    <t>机构资产拓展部</t>
  </si>
  <si>
    <t>高级技术专家</t>
  </si>
  <si>
    <t>M02154</t>
  </si>
  <si>
    <t>马巧</t>
  </si>
  <si>
    <t>组织规划岗</t>
  </si>
  <si>
    <t>行政总务岗</t>
  </si>
  <si>
    <t>印章合同档案管理员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</si>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</sst>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b/>
      <sz val="22"/>
      <color theme="1"/>
      <name val="等线"/>
      <family val="3"/>
      <charset val="134"/>
      <scheme val="minor"/>
    </font>
    <font>
      <b/>
      <sz val="14"/>
      <color theme="1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b/>
      <sz val="22"/>
      <color rgb="FFFF0000"/>
      <name val="等线"/>
      <family val="3"/>
      <charset val="134"/>
      <scheme val="minor"/>
    </font>
    <font>
      <sz val="12"/>
      <color rgb="FFFF0000"/>
      <name val="等线"/>
      <family val="2"/>
      <charset val="134"/>
      <scheme val="minor"/>
    </font>
    <font>
      <b/>
      <sz val="14"/>
      <color rgb="FFFF0000"/>
      <name val="黑体"/>
      <family val="3"/>
      <charset val="134"/>
    </font>
    <font>
      <b/>
      <sz val="12"/>
      <color rgb="FFFF0000"/>
      <name val="黑体"/>
      <family val="3"/>
      <charset val="134"/>
    </font>
    <font>
      <b/>
      <sz val="12"/>
      <color rgb="FFFF0000"/>
      <name val="等线"/>
      <family val="2"/>
      <charset val="134"/>
      <scheme val="minor"/>
    </font>
    <font>
      <b/>
      <sz val="22"/>
      <color rgb="FFFF0000"/>
      <name val="黑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9" fontId="2" fillId="0" borderId="0" applyFont="0" applyFill="0" applyBorder="0" applyAlignment="0" applyProtection="0"/>
  </cellStyleXfs>
  <cellXfs count="44">
    <xf numFmtId="0" fontId="0" fillId="0" borderId="0" xfId="0">
      <alignment vertical="center"/>
    </xf>
    <xf numFmtId="0" fontId="2" fillId="0" borderId="0" xfId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 applyProtection="1">
      <alignment horizontal="left"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  <xf numFmtId="9" fontId="4" fillId="2" borderId="1" xfId="2" applyFont="1" applyFill="1" applyBorder="1" applyAlignment="1" applyProtection="1">
      <alignment horizontal="center" vertical="center"/>
    </xf>
    <xf numFmtId="0" fontId="4" fillId="3" borderId="1" xfId="1" applyFont="1" applyFill="1" applyBorder="1" applyAlignment="1" applyProtection="1">
      <alignment horizontal="center" vertical="center"/>
    </xf>
    <xf numFmtId="0" fontId="2" fillId="0" borderId="0" xfId="1" applyAlignment="1">
      <alignment horizontal="center" vertical="center"/>
    </xf>
    <xf numFmtId="0" fontId="4" fillId="0" borderId="0" xfId="1" applyFont="1" applyFill="1" applyBorder="1" applyAlignment="1" applyProtection="1">
      <alignment horizontal="left" vertical="center"/>
      <protection locked="0"/>
    </xf>
    <xf numFmtId="0" fontId="5" fillId="0" borderId="1" xfId="1" applyFont="1" applyFill="1" applyBorder="1" applyAlignment="1" applyProtection="1">
      <alignment horizontal="center" vertical="center" wrapText="1"/>
      <protection locked="0"/>
    </xf>
    <xf numFmtId="0" fontId="5" fillId="4" borderId="1" xfId="1" applyFont="1" applyFill="1" applyBorder="1" applyAlignment="1" applyProtection="1">
      <alignment horizontal="center" vertical="center" wrapText="1"/>
      <protection locked="0"/>
    </xf>
    <xf numFmtId="0" fontId="2" fillId="0" borderId="1" xfId="1" applyBorder="1" applyAlignment="1">
      <alignment vertical="center"/>
    </xf>
    <xf numFmtId="0" fontId="2" fillId="0" borderId="1" xfId="1" applyBorder="1"/>
    <xf numFmtId="0" fontId="2" fillId="4" borderId="1" xfId="1" applyFill="1" applyBorder="1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2" fillId="0" borderId="1" xfId="1" applyFill="1" applyBorder="1"/>
    <xf numFmtId="0" fontId="2" fillId="0" borderId="1" xfId="1" applyFill="1" applyBorder="1" applyAlignment="1">
      <alignment horizontal="left" vertical="center"/>
    </xf>
    <xf numFmtId="49" fontId="2" fillId="0" borderId="1" xfId="1" applyNumberFormat="1" applyBorder="1" applyAlignment="1">
      <alignment horizontal="left" vertical="center"/>
    </xf>
    <xf numFmtId="0" fontId="2" fillId="0" borderId="1" xfId="1" applyFill="1" applyBorder="1" applyAlignment="1">
      <alignment vertical="center"/>
    </xf>
    <xf numFmtId="14" fontId="2" fillId="0" borderId="1" xfId="1" applyNumberFormat="1" applyBorder="1" applyAlignment="1">
      <alignment vertical="center"/>
    </xf>
    <xf numFmtId="0" fontId="2" fillId="0" borderId="1" xfId="1" applyBorder="1" applyAlignment="1">
      <alignment horizontal="left"/>
    </xf>
    <xf numFmtId="0" fontId="2" fillId="0" borderId="1" xfId="1" applyBorder="1" applyAlignment="1">
      <alignment horizontal="left" wrapText="1"/>
    </xf>
    <xf numFmtId="0" fontId="2" fillId="0" borderId="1" xfId="1" applyBorder="1" applyAlignment="1">
      <alignment horizontal="center" vertical="center"/>
    </xf>
    <xf numFmtId="9" fontId="0" fillId="0" borderId="0" xfId="0" applyNumberFormat="1">
      <alignment vertical="center"/>
    </xf>
    <xf numFmtId="9" fontId="2" fillId="0" borderId="0" xfId="1" applyNumberFormat="1"/>
    <xf numFmtId="9" fontId="4" fillId="0" borderId="1" xfId="1" applyNumberFormat="1" applyFont="1" applyBorder="1" applyAlignment="1" applyProtection="1">
      <alignment horizontal="center" vertical="center"/>
      <protection locked="0"/>
    </xf>
    <xf numFmtId="14" fontId="5" fillId="0" borderId="1" xfId="1" applyNumberFormat="1" applyFont="1" applyFill="1" applyBorder="1" applyAlignment="1" applyProtection="1">
      <alignment horizontal="center" vertical="center" wrapText="1"/>
      <protection locked="0"/>
    </xf>
    <xf numFmtId="14" fontId="2" fillId="0" borderId="1" xfId="1" applyNumberFormat="1" applyBorder="1"/>
    <xf numFmtId="0" fontId="3" fillId="0" borderId="0" xfId="1" applyFont="1" applyAlignment="1">
      <alignment horizontal="center"/>
    </xf>
    <xf numFmtId="14" fontId="3" fillId="0" borderId="0" xfId="1" applyNumberFormat="1" applyFont="1" applyAlignment="1">
      <alignment horizontal="center"/>
    </xf>
    <xf numFmtId="14" fontId="2" fillId="0" borderId="0" xfId="1" applyNumberFormat="1"/>
    <xf numFmtId="0" fontId="6" fillId="2" borderId="0" xfId="1" applyFont="1" applyFill="1" applyAlignment="1">
      <alignment horizontal="center"/>
    </xf>
    <xf numFmtId="0" fontId="7" fillId="4" borderId="1" xfId="1" applyFont="1" applyFill="1" applyBorder="1" applyAlignment="1">
      <alignment horizontal="center" vertical="center"/>
    </xf>
    <xf numFmtId="0" fontId="8" fillId="4" borderId="1" xfId="1" applyFont="1" applyFill="1" applyBorder="1" applyAlignment="1" applyProtection="1">
      <alignment horizontal="center" vertical="center" wrapText="1"/>
      <protection locked="0"/>
    </xf>
    <xf numFmtId="0" fontId="9" fillId="4" borderId="1" xfId="1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10" fillId="4" borderId="1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4" borderId="1" xfId="1" applyFont="1" applyFill="1" applyBorder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1" applyFont="1" applyAlignment="1">
      <alignment horizontal="center"/>
    </xf>
  </cellXfs>
  <cellStyles count="3">
    <cellStyle name="百分比 2" xfId="2"/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"/>
  <sheetViews>
    <sheetView zoomScale="60" zoomScaleNormal="60"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A16" sqref="A16:XFD16"/>
    </sheetView>
  </sheetViews>
  <sheetFormatPr defaultColWidth="11" defaultRowHeight="15.75" x14ac:dyDescent="0.25"/>
  <cols>
    <col min="1" max="6" width="19.5" style="1" customWidth="1"/>
    <col min="7" max="7" width="13.375" style="1" customWidth="1"/>
    <col min="8" max="8" width="14.125" style="1" customWidth="1"/>
    <col min="9" max="9" width="15.125" style="1" customWidth="1"/>
    <col min="10" max="10" width="17.125" style="1" customWidth="1"/>
    <col min="11" max="11" width="18.875" style="40" customWidth="1"/>
    <col min="12" max="12" width="23.375" style="9" customWidth="1"/>
    <col min="13" max="13" width="33.125" style="9" customWidth="1"/>
    <col min="14" max="14" width="22.375" style="9" customWidth="1"/>
    <col min="15" max="15" width="38.5" style="9" customWidth="1"/>
    <col min="16" max="17" width="11" style="1" customWidth="1"/>
    <col min="18" max="16384" width="11" style="1"/>
  </cols>
  <sheetData>
    <row r="1" spans="1:22" ht="54.75" customHeight="1" x14ac:dyDescent="0.4">
      <c r="A1" s="42" t="s">
        <v>1443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22" ht="27.75" hidden="1" x14ac:dyDescent="0.4">
      <c r="A2" s="4" t="s">
        <v>1395</v>
      </c>
      <c r="B2" s="33" t="s">
        <v>1432</v>
      </c>
      <c r="C2" s="2"/>
      <c r="D2" s="2"/>
      <c r="E2" s="2"/>
      <c r="F2" s="2"/>
      <c r="G2" s="2"/>
      <c r="H2" s="2"/>
      <c r="I2" s="2"/>
      <c r="J2" s="2"/>
      <c r="K2" s="39"/>
      <c r="L2" s="3"/>
      <c r="M2" s="3"/>
      <c r="N2" s="3"/>
      <c r="O2" s="3"/>
    </row>
    <row r="3" spans="1:22" ht="27.75" x14ac:dyDescent="0.4">
      <c r="A3" s="4" t="s">
        <v>1381</v>
      </c>
      <c r="B3" s="5"/>
      <c r="C3" s="5"/>
      <c r="D3" s="5"/>
      <c r="E3" s="5"/>
      <c r="F3" s="5"/>
      <c r="G3" s="2"/>
      <c r="H3" s="2"/>
      <c r="I3" s="2"/>
      <c r="J3" s="2"/>
      <c r="K3" s="39"/>
      <c r="L3" s="3"/>
      <c r="M3" s="3"/>
      <c r="N3" s="3"/>
      <c r="O3" s="3"/>
    </row>
    <row r="4" spans="1:22" ht="27.75" x14ac:dyDescent="0.4">
      <c r="A4" s="6" t="s">
        <v>1406</v>
      </c>
      <c r="B4" s="6" t="s">
        <v>1400</v>
      </c>
      <c r="C4" s="6" t="s">
        <v>1396</v>
      </c>
      <c r="D4" s="6" t="s">
        <v>1408</v>
      </c>
      <c r="E4" s="6" t="s">
        <v>1409</v>
      </c>
      <c r="F4" s="6" t="s">
        <v>1410</v>
      </c>
      <c r="G4" s="2"/>
      <c r="H4" s="2"/>
      <c r="I4" s="2"/>
      <c r="J4" s="2"/>
      <c r="K4" s="39"/>
      <c r="L4" s="3"/>
      <c r="M4" s="3"/>
      <c r="N4" s="3"/>
      <c r="O4" s="3"/>
      <c r="R4" s="26"/>
      <c r="S4" s="26"/>
      <c r="T4" s="26"/>
      <c r="U4" s="26"/>
      <c r="V4" s="26"/>
    </row>
    <row r="5" spans="1:22" ht="27.75" x14ac:dyDescent="0.4">
      <c r="A5" s="6" t="s">
        <v>1407</v>
      </c>
      <c r="B5" s="27">
        <f>VLOOKUP(B2,等级分布!A:F,2,0)</f>
        <v>0.1</v>
      </c>
      <c r="C5" s="27">
        <f>VLOOKUP(B2,等级分布!A:F,3,0)</f>
        <v>0.2</v>
      </c>
      <c r="D5" s="27">
        <f>VLOOKUP(B2,等级分布!A:F,4,0)</f>
        <v>0.3</v>
      </c>
      <c r="E5" s="27">
        <f>VLOOKUP(B2,等级分布!A:F,5,0)</f>
        <v>0.2</v>
      </c>
      <c r="F5" s="27">
        <f>VLOOKUP(B2,等级分布!A:F,6,0)</f>
        <v>0.2</v>
      </c>
      <c r="G5" s="2"/>
      <c r="H5" s="2"/>
      <c r="I5" s="2"/>
      <c r="J5" s="2"/>
      <c r="K5" s="39"/>
      <c r="L5" s="3"/>
      <c r="M5" s="3"/>
      <c r="N5" s="3"/>
      <c r="O5" s="3"/>
      <c r="R5" s="26"/>
      <c r="S5" s="26"/>
      <c r="T5" s="26"/>
      <c r="U5" s="26"/>
      <c r="V5" s="26"/>
    </row>
    <row r="6" spans="1:22" ht="27.75" x14ac:dyDescent="0.4">
      <c r="A6" s="6" t="s">
        <v>1382</v>
      </c>
      <c r="B6" s="7"/>
      <c r="C6" s="7"/>
      <c r="D6" s="7"/>
      <c r="E6" s="7"/>
      <c r="F6" s="7"/>
      <c r="G6" s="2"/>
      <c r="H6" s="2"/>
      <c r="I6" s="2"/>
      <c r="J6" s="2"/>
      <c r="K6" s="39"/>
      <c r="L6" s="3"/>
      <c r="M6" s="3"/>
      <c r="N6" s="3"/>
      <c r="O6" s="3"/>
    </row>
    <row r="7" spans="1:22" ht="18" hidden="1" x14ac:dyDescent="0.25">
      <c r="A7" s="6" t="s">
        <v>1383</v>
      </c>
      <c r="B7" s="8" t="str">
        <f>IF(B6&lt;=B5,"是","否")</f>
        <v>是</v>
      </c>
      <c r="C7" s="8" t="str">
        <f>IF(C6&lt;=C5,"是","否")</f>
        <v>是</v>
      </c>
      <c r="D7" s="8" t="str">
        <f>IF(D6&lt;=D5,"是","否")</f>
        <v>是</v>
      </c>
      <c r="E7" s="8" t="str">
        <f>IF(E6&lt;=E5,"是","否")</f>
        <v>是</v>
      </c>
      <c r="F7" s="8" t="str">
        <f>IF(F6&lt;=F5,"是","否")</f>
        <v>是</v>
      </c>
    </row>
    <row r="8" spans="1:22" ht="18" x14ac:dyDescent="0.25">
      <c r="A8" s="10" t="s">
        <v>1442</v>
      </c>
    </row>
    <row r="9" spans="1:22" ht="75" x14ac:dyDescent="0.25">
      <c r="A9" s="11" t="s">
        <v>0</v>
      </c>
      <c r="B9" s="11" t="s">
        <v>1</v>
      </c>
      <c r="C9" s="11" t="s">
        <v>1384</v>
      </c>
      <c r="D9" s="11" t="s">
        <v>1385</v>
      </c>
      <c r="E9" s="11" t="s">
        <v>1386</v>
      </c>
      <c r="F9" s="11" t="s">
        <v>1387</v>
      </c>
      <c r="G9" s="28" t="s">
        <v>1388</v>
      </c>
      <c r="H9" s="11" t="s">
        <v>1389</v>
      </c>
      <c r="I9" s="35" t="s">
        <v>1390</v>
      </c>
      <c r="J9" s="12" t="s">
        <v>1391</v>
      </c>
      <c r="K9" s="12" t="s">
        <v>1392</v>
      </c>
      <c r="L9" s="12" t="s">
        <v>1393</v>
      </c>
      <c r="M9" s="11" t="s">
        <v>1394</v>
      </c>
      <c r="N9" s="1" t="s">
        <v>1440</v>
      </c>
      <c r="O9" s="1"/>
    </row>
    <row r="10" spans="1:22" x14ac:dyDescent="0.25">
      <c r="A10" s="13" t="s">
        <v>1003</v>
      </c>
      <c r="B10" s="13" t="s">
        <v>871</v>
      </c>
      <c r="C10" s="14" t="s">
        <v>82</v>
      </c>
      <c r="D10" s="14"/>
      <c r="E10" s="13" t="s">
        <v>1004</v>
      </c>
      <c r="F10" s="13" t="s">
        <v>816</v>
      </c>
      <c r="G10" s="21">
        <v>43259</v>
      </c>
      <c r="H10" s="14" t="s">
        <v>2</v>
      </c>
      <c r="I10" s="36"/>
      <c r="J10" s="15"/>
      <c r="K10" s="15"/>
      <c r="L10" s="15"/>
      <c r="M10" s="16"/>
      <c r="N10" s="1"/>
      <c r="O10" s="1"/>
    </row>
    <row r="11" spans="1:22" x14ac:dyDescent="0.25">
      <c r="A11" s="13" t="s">
        <v>926</v>
      </c>
      <c r="B11" s="13" t="s">
        <v>69</v>
      </c>
      <c r="C11" s="14" t="s">
        <v>1549</v>
      </c>
      <c r="D11" s="14"/>
      <c r="E11" s="13" t="s">
        <v>927</v>
      </c>
      <c r="F11" s="13"/>
      <c r="G11" s="21">
        <v>43198</v>
      </c>
      <c r="H11" s="14" t="s">
        <v>69</v>
      </c>
      <c r="I11" s="36"/>
      <c r="J11" s="15"/>
      <c r="K11" s="15"/>
      <c r="L11" s="15"/>
      <c r="M11" s="16"/>
      <c r="N11" s="1"/>
      <c r="O11" s="1"/>
    </row>
    <row r="12" spans="1:22" x14ac:dyDescent="0.25">
      <c r="A12" s="13" t="s">
        <v>1241</v>
      </c>
      <c r="B12" s="13" t="s">
        <v>179</v>
      </c>
      <c r="C12" s="14" t="s">
        <v>1522</v>
      </c>
      <c r="D12" s="14"/>
      <c r="E12" s="13" t="s">
        <v>1242</v>
      </c>
      <c r="F12" s="13" t="s">
        <v>43</v>
      </c>
      <c r="G12" s="21">
        <v>43388</v>
      </c>
      <c r="H12" s="14" t="s">
        <v>2</v>
      </c>
      <c r="I12" s="36"/>
      <c r="J12" s="15"/>
      <c r="K12" s="15"/>
      <c r="L12" s="15"/>
      <c r="M12" s="16"/>
      <c r="N12" s="1"/>
      <c r="O12" s="1"/>
    </row>
    <row r="13" spans="1:22" x14ac:dyDescent="0.25">
      <c r="A13" s="13" t="s">
        <v>1373</v>
      </c>
      <c r="B13" s="13" t="s">
        <v>1374</v>
      </c>
      <c r="C13" s="14" t="s">
        <v>1522</v>
      </c>
      <c r="D13" s="14"/>
      <c r="E13" s="13" t="s">
        <v>1375</v>
      </c>
      <c r="F13" s="13"/>
      <c r="G13" s="21">
        <v>43452</v>
      </c>
      <c r="H13" s="14" t="s">
        <v>179</v>
      </c>
      <c r="I13" s="36"/>
      <c r="J13" s="15"/>
      <c r="K13" s="15"/>
      <c r="L13" s="15"/>
      <c r="M13" s="16"/>
      <c r="N13" s="1"/>
      <c r="O13" s="1"/>
    </row>
    <row r="14" spans="1:22" x14ac:dyDescent="0.25">
      <c r="A14" s="13" t="s">
        <v>61</v>
      </c>
      <c r="B14" s="13" t="s">
        <v>62</v>
      </c>
      <c r="C14" s="20" t="s">
        <v>1458</v>
      </c>
      <c r="D14" s="13"/>
      <c r="E14" s="13" t="s">
        <v>1414</v>
      </c>
      <c r="F14" s="13"/>
      <c r="G14" s="21">
        <v>43040</v>
      </c>
      <c r="H14" s="13" t="s">
        <v>2</v>
      </c>
      <c r="I14" s="36"/>
      <c r="J14" s="15"/>
      <c r="K14" s="15"/>
      <c r="L14" s="15"/>
      <c r="M14" s="16"/>
      <c r="N14" s="1"/>
      <c r="O14" s="1"/>
    </row>
    <row r="15" spans="1:22" x14ac:dyDescent="0.25">
      <c r="A15" s="13" t="s">
        <v>767</v>
      </c>
      <c r="B15" s="13" t="s">
        <v>615</v>
      </c>
      <c r="C15" s="14" t="s">
        <v>15</v>
      </c>
      <c r="D15" s="14" t="s">
        <v>613</v>
      </c>
      <c r="E15" s="13" t="s">
        <v>1415</v>
      </c>
      <c r="F15" s="13" t="s">
        <v>47</v>
      </c>
      <c r="G15" s="21">
        <v>42950</v>
      </c>
      <c r="H15" s="14" t="s">
        <v>2</v>
      </c>
      <c r="I15" s="38"/>
      <c r="J15" s="15"/>
      <c r="K15" s="15"/>
      <c r="L15" s="15"/>
      <c r="M15" s="16"/>
      <c r="N15" s="1"/>
      <c r="O15" s="1"/>
    </row>
    <row r="16" spans="1:22" x14ac:dyDescent="0.25">
      <c r="A16" s="14" t="s">
        <v>525</v>
      </c>
      <c r="B16" s="16" t="s">
        <v>526</v>
      </c>
      <c r="C16" s="18" t="s">
        <v>15</v>
      </c>
      <c r="D16" s="16" t="s">
        <v>527</v>
      </c>
      <c r="E16" s="16" t="s">
        <v>528</v>
      </c>
      <c r="F16" s="19" t="s">
        <v>19</v>
      </c>
      <c r="G16" s="29">
        <v>42625</v>
      </c>
      <c r="H16" s="14" t="s">
        <v>2</v>
      </c>
      <c r="I16" s="36"/>
      <c r="J16" s="15"/>
      <c r="K16" s="15"/>
      <c r="L16" s="15"/>
      <c r="M16" s="16"/>
      <c r="N16" s="1"/>
      <c r="O16" s="1"/>
    </row>
    <row r="17" spans="1:15" x14ac:dyDescent="0.25">
      <c r="A17" s="14"/>
      <c r="B17" s="16"/>
      <c r="C17" s="18"/>
      <c r="D17" s="16"/>
      <c r="E17" s="16"/>
      <c r="F17" s="19"/>
      <c r="G17" s="29"/>
      <c r="H17" s="14"/>
      <c r="I17" s="36"/>
      <c r="J17" s="15"/>
      <c r="K17" s="15"/>
      <c r="L17" s="15"/>
      <c r="M17" s="16"/>
      <c r="N17" s="1"/>
      <c r="O17" s="1"/>
    </row>
    <row r="18" spans="1:15" x14ac:dyDescent="0.25">
      <c r="A18" s="13"/>
      <c r="B18" s="13"/>
      <c r="C18" s="17"/>
      <c r="D18" s="14"/>
      <c r="E18" s="13"/>
      <c r="F18" s="13"/>
      <c r="G18" s="21"/>
      <c r="H18" s="14"/>
      <c r="I18" s="41"/>
      <c r="J18" s="15"/>
      <c r="K18" s="15"/>
      <c r="L18" s="15"/>
      <c r="M18" s="14"/>
      <c r="N18" s="1"/>
      <c r="O18" s="1"/>
    </row>
    <row r="19" spans="1:15" x14ac:dyDescent="0.25">
      <c r="A19" s="13"/>
      <c r="B19" s="13"/>
      <c r="C19" s="17"/>
      <c r="D19" s="14"/>
      <c r="E19" s="13"/>
      <c r="F19" s="13"/>
      <c r="G19" s="21"/>
      <c r="H19" s="14"/>
      <c r="I19" s="41"/>
      <c r="J19" s="15"/>
      <c r="K19" s="15"/>
      <c r="L19" s="15"/>
      <c r="M19" s="14"/>
      <c r="N19" s="1"/>
      <c r="O19" s="1"/>
    </row>
    <row r="20" spans="1:15" x14ac:dyDescent="0.25">
      <c r="A20" s="13"/>
      <c r="B20" s="13"/>
      <c r="C20" s="17"/>
      <c r="D20" s="14"/>
      <c r="E20" s="13"/>
      <c r="F20" s="13"/>
      <c r="G20" s="21"/>
      <c r="H20" s="14"/>
      <c r="I20" s="41"/>
      <c r="J20" s="15"/>
      <c r="K20" s="15"/>
      <c r="L20" s="15"/>
      <c r="M20" s="14"/>
      <c r="N20" s="1"/>
      <c r="O20" s="1"/>
    </row>
    <row r="21" spans="1:15" x14ac:dyDescent="0.25">
      <c r="A21" s="13"/>
      <c r="B21" s="13"/>
      <c r="C21" s="20"/>
      <c r="D21" s="13"/>
      <c r="E21" s="13"/>
      <c r="F21" s="13"/>
      <c r="G21" s="21"/>
      <c r="H21" s="13"/>
      <c r="I21" s="36"/>
      <c r="J21" s="15"/>
      <c r="K21" s="15"/>
      <c r="L21" s="15"/>
      <c r="M21" s="22"/>
      <c r="N21" s="1"/>
      <c r="O21" s="1"/>
    </row>
    <row r="22" spans="1:15" x14ac:dyDescent="0.25">
      <c r="A22" s="13"/>
      <c r="B22" s="13"/>
      <c r="C22" s="20"/>
      <c r="D22" s="13"/>
      <c r="E22" s="13"/>
      <c r="F22" s="13"/>
      <c r="G22" s="21"/>
      <c r="H22" s="13"/>
      <c r="I22" s="36"/>
      <c r="J22" s="15"/>
      <c r="K22" s="15"/>
      <c r="L22" s="15"/>
      <c r="M22" s="22"/>
      <c r="N22" s="1"/>
      <c r="O22" s="1"/>
    </row>
    <row r="23" spans="1:15" x14ac:dyDescent="0.25">
      <c r="A23" s="13"/>
      <c r="B23" s="13"/>
      <c r="C23" s="20"/>
      <c r="D23" s="13"/>
      <c r="E23" s="13"/>
      <c r="F23" s="13"/>
      <c r="G23" s="21"/>
      <c r="H23" s="13"/>
      <c r="I23" s="36"/>
      <c r="J23" s="15"/>
      <c r="K23" s="15"/>
      <c r="L23" s="15"/>
      <c r="M23" s="23"/>
      <c r="N23" s="1"/>
      <c r="O23" s="1"/>
    </row>
    <row r="24" spans="1:15" x14ac:dyDescent="0.25">
      <c r="I24" s="40"/>
      <c r="J24" s="9"/>
      <c r="K24" s="9"/>
      <c r="N24" s="1"/>
      <c r="O24" s="1"/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tabSelected="1" zoomScale="60" zoomScaleNormal="60"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C38" sqref="C38"/>
    </sheetView>
  </sheetViews>
  <sheetFormatPr defaultColWidth="11" defaultRowHeight="15.75" x14ac:dyDescent="0.25"/>
  <cols>
    <col min="1" max="6" width="19.5" style="1" customWidth="1"/>
    <col min="7" max="7" width="13.375" style="1" customWidth="1"/>
    <col min="8" max="8" width="14.125" style="1" customWidth="1"/>
    <col min="9" max="9" width="15.125" style="1" customWidth="1"/>
    <col min="10" max="10" width="17.125" style="1" customWidth="1"/>
    <col min="11" max="11" width="18.875" style="40" customWidth="1"/>
    <col min="12" max="12" width="23.375" style="9" customWidth="1"/>
    <col min="13" max="13" width="33.125" style="9" customWidth="1"/>
    <col min="14" max="14" width="22.375" style="9" customWidth="1"/>
    <col min="15" max="15" width="38.5" style="9" customWidth="1"/>
    <col min="16" max="17" width="11" style="1" customWidth="1"/>
    <col min="18" max="16384" width="11" style="1"/>
  </cols>
  <sheetData>
    <row r="1" spans="1:22" ht="54.75" customHeight="1" x14ac:dyDescent="0.4">
      <c r="A1" s="42" t="s">
        <v>1443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22" ht="27.75" hidden="1" x14ac:dyDescent="0.4">
      <c r="A2" s="4" t="s">
        <v>1395</v>
      </c>
      <c r="B2" s="33" t="s">
        <v>1397</v>
      </c>
      <c r="C2" s="37"/>
      <c r="D2" s="37"/>
      <c r="E2" s="37"/>
      <c r="F2" s="37"/>
      <c r="G2" s="37"/>
      <c r="H2" s="37"/>
      <c r="I2" s="37"/>
      <c r="J2" s="37"/>
      <c r="K2" s="39"/>
      <c r="L2" s="3"/>
      <c r="M2" s="3"/>
      <c r="N2" s="3"/>
      <c r="O2" s="3"/>
    </row>
    <row r="3" spans="1:22" ht="27.75" x14ac:dyDescent="0.4">
      <c r="A3" s="4" t="s">
        <v>1381</v>
      </c>
      <c r="B3" s="5"/>
      <c r="C3" s="5"/>
      <c r="D3" s="5"/>
      <c r="E3" s="5"/>
      <c r="F3" s="5"/>
      <c r="G3" s="37"/>
      <c r="H3" s="37"/>
      <c r="I3" s="37"/>
      <c r="J3" s="37"/>
      <c r="K3" s="39"/>
      <c r="L3" s="3"/>
      <c r="M3" s="3"/>
      <c r="N3" s="3"/>
      <c r="O3" s="3"/>
    </row>
    <row r="4" spans="1:22" ht="27.75" x14ac:dyDescent="0.4">
      <c r="A4" s="6" t="s">
        <v>1406</v>
      </c>
      <c r="B4" s="6" t="s">
        <v>1400</v>
      </c>
      <c r="C4" s="6" t="s">
        <v>1396</v>
      </c>
      <c r="D4" s="6" t="s">
        <v>1408</v>
      </c>
      <c r="E4" s="6" t="s">
        <v>1405</v>
      </c>
      <c r="F4" s="6" t="s">
        <v>1403</v>
      </c>
      <c r="G4" s="37"/>
      <c r="H4" s="37"/>
      <c r="I4" s="37"/>
      <c r="J4" s="37"/>
      <c r="K4" s="39"/>
      <c r="L4" s="3"/>
      <c r="M4" s="3"/>
      <c r="N4" s="3"/>
      <c r="O4" s="3"/>
      <c r="R4" s="26"/>
      <c r="S4" s="26"/>
      <c r="T4" s="26"/>
      <c r="U4" s="26"/>
      <c r="V4" s="26"/>
    </row>
    <row r="5" spans="1:22" ht="27.75" x14ac:dyDescent="0.4">
      <c r="A5" s="6" t="s">
        <v>1407</v>
      </c>
      <c r="B5" s="27">
        <f>VLOOKUP(B2,等级分布!A:F,2,0)</f>
        <v>0.1</v>
      </c>
      <c r="C5" s="27">
        <f>VLOOKUP(B2,等级分布!A:F,3,0)</f>
        <v>0.2</v>
      </c>
      <c r="D5" s="27">
        <f>VLOOKUP(B2,等级分布!A:F,4,0)</f>
        <v>0.3</v>
      </c>
      <c r="E5" s="27">
        <f>VLOOKUP(B2,等级分布!A:F,5,0)</f>
        <v>0.2</v>
      </c>
      <c r="F5" s="27">
        <f>VLOOKUP(B2,等级分布!A:F,6,0)</f>
        <v>0.2</v>
      </c>
      <c r="G5" s="37"/>
      <c r="H5" s="37"/>
      <c r="I5" s="37"/>
      <c r="J5" s="37"/>
      <c r="K5" s="39"/>
      <c r="L5" s="3"/>
      <c r="M5" s="3"/>
      <c r="N5" s="3"/>
      <c r="O5" s="3"/>
      <c r="R5" s="26"/>
      <c r="S5" s="26"/>
      <c r="T5" s="26"/>
      <c r="U5" s="26"/>
      <c r="V5" s="26"/>
    </row>
    <row r="6" spans="1:22" ht="27.75" x14ac:dyDescent="0.4">
      <c r="A6" s="6" t="s">
        <v>1382</v>
      </c>
      <c r="B6" s="7"/>
      <c r="C6" s="7"/>
      <c r="D6" s="7"/>
      <c r="E6" s="7"/>
      <c r="F6" s="7"/>
      <c r="G6" s="37"/>
      <c r="H6" s="37"/>
      <c r="I6" s="37"/>
      <c r="J6" s="37"/>
      <c r="K6" s="39"/>
      <c r="L6" s="3"/>
      <c r="M6" s="3"/>
      <c r="N6" s="3"/>
      <c r="O6" s="3"/>
    </row>
    <row r="7" spans="1:22" ht="18" hidden="1" x14ac:dyDescent="0.25">
      <c r="A7" s="6" t="s">
        <v>1383</v>
      </c>
      <c r="B7" s="8" t="str">
        <f>IF(B6&lt;=B5,"是","否")</f>
        <v>是</v>
      </c>
      <c r="C7" s="8" t="str">
        <f>IF(C6&lt;=C5,"是","否")</f>
        <v>是</v>
      </c>
      <c r="D7" s="8" t="str">
        <f>IF(D6&lt;=D5,"是","否")</f>
        <v>是</v>
      </c>
      <c r="E7" s="8" t="str">
        <f>IF(E6&lt;=E5,"是","否")</f>
        <v>是</v>
      </c>
      <c r="F7" s="8" t="str">
        <f>IF(F6&lt;=F5,"是","否")</f>
        <v>是</v>
      </c>
    </row>
    <row r="8" spans="1:22" ht="18" x14ac:dyDescent="0.25">
      <c r="A8" s="10" t="s">
        <v>1442</v>
      </c>
    </row>
    <row r="9" spans="1:22" ht="75" x14ac:dyDescent="0.25">
      <c r="A9" s="11" t="s">
        <v>0</v>
      </c>
      <c r="B9" s="11" t="s">
        <v>1</v>
      </c>
      <c r="C9" s="11" t="s">
        <v>1384</v>
      </c>
      <c r="D9" s="11" t="s">
        <v>1385</v>
      </c>
      <c r="E9" s="11" t="s">
        <v>1386</v>
      </c>
      <c r="F9" s="11" t="s">
        <v>1387</v>
      </c>
      <c r="G9" s="28" t="s">
        <v>1388</v>
      </c>
      <c r="H9" s="11" t="s">
        <v>1389</v>
      </c>
      <c r="I9" s="35" t="s">
        <v>1390</v>
      </c>
      <c r="J9" s="12" t="s">
        <v>1391</v>
      </c>
      <c r="K9" s="12" t="s">
        <v>1392</v>
      </c>
      <c r="L9" s="12" t="s">
        <v>1393</v>
      </c>
      <c r="M9" s="11" t="s">
        <v>1394</v>
      </c>
      <c r="N9" s="1" t="s">
        <v>1439</v>
      </c>
      <c r="O9" s="1"/>
    </row>
    <row r="10" spans="1:22" x14ac:dyDescent="0.25">
      <c r="A10" s="13" t="s">
        <v>66</v>
      </c>
      <c r="B10" s="13" t="s">
        <v>67</v>
      </c>
      <c r="C10" s="14" t="s">
        <v>1458</v>
      </c>
      <c r="D10" s="14" t="s">
        <v>1482</v>
      </c>
      <c r="E10" s="13" t="s">
        <v>41</v>
      </c>
      <c r="F10" s="13" t="s">
        <v>24</v>
      </c>
      <c r="G10" s="21">
        <v>41708</v>
      </c>
      <c r="H10" s="14" t="s">
        <v>62</v>
      </c>
      <c r="I10" s="36"/>
      <c r="J10" s="15"/>
      <c r="K10" s="15"/>
      <c r="L10" s="15"/>
      <c r="M10" s="16"/>
      <c r="N10" s="1"/>
      <c r="O10" s="1"/>
    </row>
    <row r="11" spans="1:22" x14ac:dyDescent="0.25">
      <c r="A11" s="13" t="s">
        <v>1463</v>
      </c>
      <c r="B11" s="13" t="s">
        <v>1464</v>
      </c>
      <c r="C11" s="14" t="s">
        <v>1458</v>
      </c>
      <c r="D11" s="14" t="s">
        <v>1465</v>
      </c>
      <c r="E11" s="13" t="s">
        <v>1466</v>
      </c>
      <c r="F11" s="13" t="s">
        <v>19</v>
      </c>
      <c r="G11" s="21">
        <v>43514</v>
      </c>
      <c r="H11" s="14" t="s">
        <v>62</v>
      </c>
      <c r="I11" s="36"/>
      <c r="J11" s="15"/>
      <c r="K11" s="15"/>
      <c r="L11" s="15"/>
      <c r="M11" s="16"/>
      <c r="N11" s="1"/>
      <c r="O11" s="1"/>
    </row>
    <row r="12" spans="1:22" x14ac:dyDescent="0.25">
      <c r="A12" s="13" t="s">
        <v>1467</v>
      </c>
      <c r="B12" s="13" t="s">
        <v>1468</v>
      </c>
      <c r="C12" s="14" t="s">
        <v>1458</v>
      </c>
      <c r="D12" s="14" t="s">
        <v>1465</v>
      </c>
      <c r="E12" s="13" t="s">
        <v>1469</v>
      </c>
      <c r="F12" s="13" t="s">
        <v>19</v>
      </c>
      <c r="G12" s="21">
        <v>43521</v>
      </c>
      <c r="H12" s="14" t="s">
        <v>62</v>
      </c>
      <c r="I12" s="36"/>
      <c r="J12" s="15"/>
      <c r="K12" s="15"/>
      <c r="L12" s="15"/>
      <c r="M12" s="16"/>
      <c r="N12" s="1"/>
      <c r="O12" s="1"/>
    </row>
    <row r="13" spans="1:22" x14ac:dyDescent="0.25">
      <c r="A13" s="13" t="s">
        <v>57</v>
      </c>
      <c r="B13" s="13" t="s">
        <v>58</v>
      </c>
      <c r="C13" s="14" t="s">
        <v>1458</v>
      </c>
      <c r="D13" s="14"/>
      <c r="E13" s="13" t="s">
        <v>59</v>
      </c>
      <c r="F13" s="13" t="s">
        <v>60</v>
      </c>
      <c r="G13" s="21">
        <v>41518</v>
      </c>
      <c r="H13" s="14" t="s">
        <v>62</v>
      </c>
      <c r="I13" s="36"/>
      <c r="J13" s="15"/>
      <c r="K13" s="15"/>
      <c r="L13" s="15"/>
      <c r="M13" s="16"/>
      <c r="N13" s="1"/>
      <c r="O13" s="1"/>
    </row>
    <row r="14" spans="1:22" x14ac:dyDescent="0.25">
      <c r="A14" s="13" t="s">
        <v>829</v>
      </c>
      <c r="B14" s="13" t="s">
        <v>219</v>
      </c>
      <c r="C14" s="14" t="s">
        <v>1458</v>
      </c>
      <c r="D14" s="14" t="s">
        <v>212</v>
      </c>
      <c r="E14" s="13" t="s">
        <v>830</v>
      </c>
      <c r="F14" s="13" t="s">
        <v>19</v>
      </c>
      <c r="G14" s="21">
        <v>43024</v>
      </c>
      <c r="H14" s="14" t="s">
        <v>62</v>
      </c>
      <c r="I14" s="36"/>
      <c r="J14" s="15"/>
      <c r="K14" s="15"/>
      <c r="L14" s="15"/>
      <c r="M14" s="16"/>
      <c r="N14" s="1"/>
      <c r="O14" s="1"/>
    </row>
    <row r="15" spans="1:22" x14ac:dyDescent="0.25">
      <c r="A15" s="13" t="s">
        <v>20</v>
      </c>
      <c r="B15" s="13" t="s">
        <v>21</v>
      </c>
      <c r="C15" s="17" t="s">
        <v>1458</v>
      </c>
      <c r="D15" s="14" t="s">
        <v>1459</v>
      </c>
      <c r="E15" s="13" t="s">
        <v>22</v>
      </c>
      <c r="F15" s="13" t="s">
        <v>24</v>
      </c>
      <c r="G15" s="21">
        <v>40299</v>
      </c>
      <c r="H15" s="14" t="s">
        <v>62</v>
      </c>
      <c r="I15" s="36"/>
      <c r="J15" s="15"/>
      <c r="K15" s="15"/>
      <c r="L15" s="15"/>
      <c r="M15" s="16"/>
      <c r="N15" s="1"/>
      <c r="O15" s="1"/>
    </row>
    <row r="16" spans="1:22" x14ac:dyDescent="0.25">
      <c r="A16" s="14" t="s">
        <v>1179</v>
      </c>
      <c r="B16" s="16" t="s">
        <v>469</v>
      </c>
      <c r="C16" s="18" t="s">
        <v>1458</v>
      </c>
      <c r="D16" s="16" t="s">
        <v>1490</v>
      </c>
      <c r="E16" s="16" t="s">
        <v>1180</v>
      </c>
      <c r="F16" s="19" t="s">
        <v>24</v>
      </c>
      <c r="G16" s="29">
        <v>43320</v>
      </c>
      <c r="H16" s="14" t="s">
        <v>62</v>
      </c>
      <c r="I16" s="36"/>
      <c r="J16" s="15"/>
      <c r="K16" s="15"/>
      <c r="L16" s="15"/>
      <c r="M16" s="16"/>
      <c r="N16" s="1"/>
      <c r="O16" s="1"/>
    </row>
    <row r="17" spans="1:15" x14ac:dyDescent="0.25">
      <c r="A17" s="13" t="s">
        <v>717</v>
      </c>
      <c r="B17" s="13" t="s">
        <v>124</v>
      </c>
      <c r="C17" s="20" t="s">
        <v>1458</v>
      </c>
      <c r="D17" s="13" t="s">
        <v>122</v>
      </c>
      <c r="E17" s="13" t="s">
        <v>718</v>
      </c>
      <c r="F17" s="13" t="s">
        <v>47</v>
      </c>
      <c r="G17" s="21">
        <v>42842</v>
      </c>
      <c r="H17" s="13" t="s">
        <v>62</v>
      </c>
      <c r="I17" s="36"/>
      <c r="J17" s="15"/>
      <c r="K17" s="15"/>
      <c r="L17" s="15"/>
      <c r="M17" s="16"/>
      <c r="N17" s="1"/>
      <c r="O17" s="1"/>
    </row>
    <row r="18" spans="1:15" x14ac:dyDescent="0.25">
      <c r="A18" s="13" t="s">
        <v>499</v>
      </c>
      <c r="B18" s="13" t="s">
        <v>500</v>
      </c>
      <c r="C18" s="20" t="s">
        <v>1458</v>
      </c>
      <c r="D18" s="13" t="s">
        <v>364</v>
      </c>
      <c r="E18" s="13" t="s">
        <v>501</v>
      </c>
      <c r="F18" s="13" t="s">
        <v>24</v>
      </c>
      <c r="G18" s="21">
        <v>42604</v>
      </c>
      <c r="H18" s="13" t="s">
        <v>62</v>
      </c>
      <c r="I18" s="36"/>
      <c r="J18" s="15"/>
      <c r="K18" s="15"/>
      <c r="L18" s="15"/>
      <c r="M18" s="16"/>
      <c r="N18" s="1"/>
      <c r="O18" s="1"/>
    </row>
    <row r="19" spans="1:15" x14ac:dyDescent="0.25">
      <c r="A19" s="13" t="s">
        <v>357</v>
      </c>
      <c r="B19" s="13" t="s">
        <v>358</v>
      </c>
      <c r="C19" s="20" t="s">
        <v>1458</v>
      </c>
      <c r="D19" s="13" t="s">
        <v>249</v>
      </c>
      <c r="E19" s="13" t="s">
        <v>359</v>
      </c>
      <c r="F19" s="13" t="s">
        <v>24</v>
      </c>
      <c r="G19" s="21">
        <v>42493</v>
      </c>
      <c r="H19" s="13" t="s">
        <v>62</v>
      </c>
      <c r="I19" s="36"/>
      <c r="J19" s="15"/>
      <c r="K19" s="15"/>
      <c r="L19" s="15"/>
      <c r="M19" s="16"/>
      <c r="N19" s="1"/>
      <c r="O19" s="1"/>
    </row>
    <row r="20" spans="1:15" x14ac:dyDescent="0.25">
      <c r="A20" s="13" t="s">
        <v>472</v>
      </c>
      <c r="B20" s="13" t="s">
        <v>473</v>
      </c>
      <c r="C20" s="20" t="s">
        <v>1458</v>
      </c>
      <c r="D20" s="13" t="s">
        <v>474</v>
      </c>
      <c r="E20" s="13" t="s">
        <v>475</v>
      </c>
      <c r="F20" s="13" t="s">
        <v>56</v>
      </c>
      <c r="G20" s="21">
        <v>42576</v>
      </c>
      <c r="H20" s="13" t="s">
        <v>62</v>
      </c>
      <c r="I20" s="36"/>
      <c r="J20" s="15"/>
      <c r="K20" s="15"/>
      <c r="L20" s="15"/>
      <c r="M20" s="16"/>
      <c r="N20" s="1"/>
      <c r="O20" s="1"/>
    </row>
    <row r="21" spans="1:15" x14ac:dyDescent="0.25">
      <c r="A21" s="13" t="s">
        <v>908</v>
      </c>
      <c r="B21" s="13" t="s">
        <v>572</v>
      </c>
      <c r="C21" s="14" t="s">
        <v>1522</v>
      </c>
      <c r="D21" s="14" t="s">
        <v>570</v>
      </c>
      <c r="E21" s="13" t="s">
        <v>909</v>
      </c>
      <c r="F21" s="13" t="s">
        <v>60</v>
      </c>
      <c r="G21" s="21">
        <v>43192</v>
      </c>
      <c r="H21" s="14" t="s">
        <v>179</v>
      </c>
      <c r="I21" s="36"/>
      <c r="J21" s="15"/>
      <c r="K21" s="15"/>
      <c r="L21" s="15"/>
      <c r="M21" s="16"/>
      <c r="N21" s="1"/>
      <c r="O21" s="1"/>
    </row>
    <row r="22" spans="1:15" x14ac:dyDescent="0.25">
      <c r="A22" s="13" t="s">
        <v>867</v>
      </c>
      <c r="B22" s="13" t="s">
        <v>152</v>
      </c>
      <c r="C22" s="14" t="s">
        <v>1522</v>
      </c>
      <c r="D22" s="14" t="s">
        <v>150</v>
      </c>
      <c r="E22" s="13" t="s">
        <v>868</v>
      </c>
      <c r="F22" s="13" t="s">
        <v>24</v>
      </c>
      <c r="G22" s="21">
        <v>43108</v>
      </c>
      <c r="H22" s="14" t="s">
        <v>179</v>
      </c>
      <c r="I22" s="36"/>
      <c r="J22" s="15"/>
      <c r="K22" s="15"/>
      <c r="L22" s="15"/>
      <c r="M22" s="16"/>
      <c r="N22" s="1"/>
      <c r="O22" s="1"/>
    </row>
    <row r="23" spans="1:15" x14ac:dyDescent="0.25">
      <c r="A23" s="13" t="s">
        <v>198</v>
      </c>
      <c r="B23" s="13" t="s">
        <v>175</v>
      </c>
      <c r="C23" s="14" t="s">
        <v>1522</v>
      </c>
      <c r="D23" s="14" t="s">
        <v>173</v>
      </c>
      <c r="E23" s="13" t="s">
        <v>199</v>
      </c>
      <c r="F23" s="13" t="s">
        <v>56</v>
      </c>
      <c r="G23" s="21">
        <v>42264</v>
      </c>
      <c r="H23" s="14" t="s">
        <v>179</v>
      </c>
      <c r="I23" s="36"/>
      <c r="J23" s="15"/>
      <c r="K23" s="15"/>
      <c r="L23" s="15"/>
      <c r="M23" s="16"/>
      <c r="N23" s="1"/>
      <c r="O23" s="1"/>
    </row>
    <row r="24" spans="1:15" x14ac:dyDescent="0.25">
      <c r="A24" s="13" t="s">
        <v>1322</v>
      </c>
      <c r="B24" s="13" t="s">
        <v>54</v>
      </c>
      <c r="C24" s="14" t="s">
        <v>1522</v>
      </c>
      <c r="D24" s="14" t="s">
        <v>52</v>
      </c>
      <c r="E24" s="13" t="s">
        <v>1323</v>
      </c>
      <c r="F24" s="13" t="s">
        <v>24</v>
      </c>
      <c r="G24" s="21">
        <v>43430</v>
      </c>
      <c r="H24" s="14" t="s">
        <v>179</v>
      </c>
      <c r="I24" s="36"/>
      <c r="J24" s="15"/>
      <c r="K24" s="15"/>
      <c r="L24" s="15"/>
      <c r="M24" s="16"/>
      <c r="N24" s="1"/>
      <c r="O24" s="1"/>
    </row>
    <row r="25" spans="1:15" x14ac:dyDescent="0.25">
      <c r="A25" s="13" t="s">
        <v>128</v>
      </c>
      <c r="B25" s="13" t="s">
        <v>129</v>
      </c>
      <c r="C25" s="14" t="s">
        <v>1522</v>
      </c>
      <c r="D25" s="14" t="s">
        <v>1534</v>
      </c>
      <c r="E25" s="13" t="s">
        <v>68</v>
      </c>
      <c r="F25" s="13" t="s">
        <v>47</v>
      </c>
      <c r="G25" s="21">
        <v>42060</v>
      </c>
      <c r="H25" s="14" t="s">
        <v>71</v>
      </c>
      <c r="I25" s="36"/>
      <c r="J25" s="15"/>
      <c r="K25" s="15"/>
      <c r="L25" s="15"/>
      <c r="M25" s="16"/>
      <c r="N25" s="1"/>
      <c r="O25" s="1"/>
    </row>
    <row r="26" spans="1:15" x14ac:dyDescent="0.25">
      <c r="A26" s="13" t="s">
        <v>298</v>
      </c>
      <c r="B26" s="13" t="s">
        <v>185</v>
      </c>
      <c r="C26" s="14" t="s">
        <v>1522</v>
      </c>
      <c r="D26" s="14" t="s">
        <v>1537</v>
      </c>
      <c r="E26" s="13" t="s">
        <v>299</v>
      </c>
      <c r="F26" s="13" t="s">
        <v>56</v>
      </c>
      <c r="G26" s="21">
        <v>42443</v>
      </c>
      <c r="H26" s="14" t="s">
        <v>71</v>
      </c>
      <c r="I26" s="36"/>
      <c r="J26" s="15"/>
      <c r="K26" s="15"/>
      <c r="L26" s="15"/>
      <c r="M26" s="16"/>
      <c r="N26" s="1"/>
      <c r="O26" s="1"/>
    </row>
    <row r="27" spans="1:15" x14ac:dyDescent="0.25">
      <c r="A27" s="13" t="s">
        <v>1177</v>
      </c>
      <c r="B27" s="13" t="s">
        <v>74</v>
      </c>
      <c r="C27" s="14" t="s">
        <v>1549</v>
      </c>
      <c r="D27" s="14"/>
      <c r="E27" s="13" t="s">
        <v>1178</v>
      </c>
      <c r="F27" s="13" t="s">
        <v>816</v>
      </c>
      <c r="G27" s="21">
        <v>43320</v>
      </c>
      <c r="H27" s="14" t="s">
        <v>69</v>
      </c>
      <c r="I27" s="36"/>
      <c r="J27" s="15"/>
      <c r="K27" s="15"/>
      <c r="L27" s="15"/>
      <c r="M27" s="16"/>
      <c r="N27" s="1"/>
      <c r="O27" s="1"/>
    </row>
    <row r="28" spans="1:15" x14ac:dyDescent="0.25">
      <c r="A28" s="13" t="s">
        <v>1240</v>
      </c>
      <c r="B28" s="13" t="s">
        <v>97</v>
      </c>
      <c r="C28" s="14" t="s">
        <v>1549</v>
      </c>
      <c r="D28" s="14" t="s">
        <v>48</v>
      </c>
      <c r="E28" s="13" t="s">
        <v>529</v>
      </c>
      <c r="F28" s="13" t="s">
        <v>56</v>
      </c>
      <c r="G28" s="21">
        <v>43383</v>
      </c>
      <c r="H28" s="14" t="s">
        <v>74</v>
      </c>
      <c r="I28" s="36"/>
      <c r="J28" s="15"/>
      <c r="K28" s="15"/>
      <c r="L28" s="15"/>
      <c r="M28" s="16"/>
      <c r="N28" s="1"/>
      <c r="O28" s="1"/>
    </row>
    <row r="29" spans="1:15" x14ac:dyDescent="0.25">
      <c r="A29" s="13" t="s">
        <v>722</v>
      </c>
      <c r="B29" s="13" t="s">
        <v>446</v>
      </c>
      <c r="C29" s="14" t="s">
        <v>1549</v>
      </c>
      <c r="D29" s="14" t="s">
        <v>32</v>
      </c>
      <c r="E29" s="13" t="s">
        <v>723</v>
      </c>
      <c r="F29" s="13" t="s">
        <v>47</v>
      </c>
      <c r="G29" s="21">
        <v>42851</v>
      </c>
      <c r="H29" s="14" t="s">
        <v>74</v>
      </c>
      <c r="I29" s="36"/>
      <c r="J29" s="15"/>
      <c r="K29" s="15"/>
      <c r="L29" s="15"/>
      <c r="M29" s="16"/>
      <c r="N29" s="1"/>
      <c r="O29" s="1"/>
    </row>
    <row r="30" spans="1:15" x14ac:dyDescent="0.25">
      <c r="A30" s="13" t="s">
        <v>370</v>
      </c>
      <c r="B30" s="13" t="s">
        <v>109</v>
      </c>
      <c r="C30" s="14" t="s">
        <v>1549</v>
      </c>
      <c r="D30" s="14" t="s">
        <v>107</v>
      </c>
      <c r="E30" s="13" t="s">
        <v>371</v>
      </c>
      <c r="F30" s="13" t="s">
        <v>47</v>
      </c>
      <c r="G30" s="21">
        <v>42499</v>
      </c>
      <c r="H30" s="14" t="s">
        <v>74</v>
      </c>
      <c r="I30" s="36"/>
      <c r="J30" s="15"/>
      <c r="K30" s="15"/>
      <c r="L30" s="15"/>
      <c r="M30" s="16"/>
      <c r="N30" s="1"/>
      <c r="O30" s="1"/>
    </row>
    <row r="31" spans="1:15" x14ac:dyDescent="0.25">
      <c r="A31" s="13" t="s">
        <v>1202</v>
      </c>
      <c r="B31" s="13" t="s">
        <v>267</v>
      </c>
      <c r="C31" s="14" t="s">
        <v>1549</v>
      </c>
      <c r="D31" s="14" t="s">
        <v>75</v>
      </c>
      <c r="E31" s="13" t="s">
        <v>76</v>
      </c>
      <c r="F31" s="13" t="s">
        <v>47</v>
      </c>
      <c r="G31" s="21">
        <v>43361</v>
      </c>
      <c r="H31" s="14" t="s">
        <v>74</v>
      </c>
      <c r="I31" s="36"/>
      <c r="J31" s="15"/>
      <c r="K31" s="15"/>
      <c r="L31" s="15"/>
      <c r="M31" s="16"/>
      <c r="N31" s="1"/>
      <c r="O31" s="1"/>
    </row>
    <row r="32" spans="1:15" x14ac:dyDescent="0.25">
      <c r="A32" s="13" t="s">
        <v>81</v>
      </c>
      <c r="B32" s="13" t="s">
        <v>29</v>
      </c>
      <c r="C32" s="14" t="s">
        <v>8</v>
      </c>
      <c r="D32" s="14" t="s">
        <v>27</v>
      </c>
      <c r="E32" s="13" t="s">
        <v>63</v>
      </c>
      <c r="F32" s="13" t="s">
        <v>47</v>
      </c>
      <c r="G32" s="21">
        <v>41779</v>
      </c>
      <c r="H32" s="14" t="s">
        <v>236</v>
      </c>
      <c r="I32" s="36"/>
      <c r="J32" s="15"/>
      <c r="K32" s="15"/>
      <c r="L32" s="15"/>
      <c r="M32" s="16"/>
      <c r="N32" s="1"/>
      <c r="O32" s="1"/>
    </row>
    <row r="33" spans="1:15" x14ac:dyDescent="0.25">
      <c r="A33" s="13" t="s">
        <v>779</v>
      </c>
      <c r="B33" s="13" t="s">
        <v>780</v>
      </c>
      <c r="C33" s="14" t="s">
        <v>8</v>
      </c>
      <c r="D33" s="14" t="s">
        <v>27</v>
      </c>
      <c r="E33" s="13" t="s">
        <v>781</v>
      </c>
      <c r="F33" s="13" t="s">
        <v>12</v>
      </c>
      <c r="G33" s="21">
        <v>42963</v>
      </c>
      <c r="H33" s="14" t="s">
        <v>29</v>
      </c>
      <c r="I33" s="36"/>
      <c r="J33" s="15"/>
      <c r="K33" s="15"/>
      <c r="L33" s="15"/>
      <c r="M33" s="16"/>
      <c r="N33" s="1"/>
      <c r="O33" s="1"/>
    </row>
    <row r="34" spans="1:15" x14ac:dyDescent="0.25">
      <c r="A34" s="13" t="s">
        <v>44</v>
      </c>
      <c r="B34" s="13" t="s">
        <v>11</v>
      </c>
      <c r="C34" s="14" t="s">
        <v>8</v>
      </c>
      <c r="D34" s="14" t="s">
        <v>9</v>
      </c>
      <c r="E34" s="13" t="s">
        <v>45</v>
      </c>
      <c r="F34" s="13" t="s">
        <v>47</v>
      </c>
      <c r="G34" s="21">
        <v>41295</v>
      </c>
      <c r="H34" s="14" t="s">
        <v>46</v>
      </c>
      <c r="I34" s="36"/>
      <c r="J34" s="15"/>
      <c r="K34" s="15"/>
      <c r="L34" s="15"/>
      <c r="M34" s="16"/>
      <c r="N34" s="1"/>
      <c r="O34" s="1"/>
    </row>
    <row r="35" spans="1:15" x14ac:dyDescent="0.25">
      <c r="A35" s="13" t="s">
        <v>268</v>
      </c>
      <c r="B35" s="13" t="s">
        <v>269</v>
      </c>
      <c r="C35" s="14" t="s">
        <v>8</v>
      </c>
      <c r="D35" s="14" t="s">
        <v>9</v>
      </c>
      <c r="E35" s="13" t="s">
        <v>270</v>
      </c>
      <c r="F35" s="13" t="s">
        <v>24</v>
      </c>
      <c r="G35" s="21">
        <v>42387</v>
      </c>
      <c r="H35" s="14" t="s">
        <v>46</v>
      </c>
      <c r="I35" s="36"/>
      <c r="J35" s="15"/>
      <c r="K35" s="15"/>
      <c r="L35" s="15"/>
      <c r="M35" s="16"/>
      <c r="N35" s="1"/>
      <c r="O35" s="1"/>
    </row>
    <row r="36" spans="1:15" x14ac:dyDescent="0.25">
      <c r="A36" s="13" t="s">
        <v>880</v>
      </c>
      <c r="B36" s="13" t="s">
        <v>881</v>
      </c>
      <c r="C36" s="14" t="s">
        <v>82</v>
      </c>
      <c r="D36" s="14" t="s">
        <v>882</v>
      </c>
      <c r="E36" s="13" t="s">
        <v>1416</v>
      </c>
      <c r="F36" s="13" t="s">
        <v>47</v>
      </c>
      <c r="G36" s="21">
        <v>43136</v>
      </c>
      <c r="H36" s="14" t="s">
        <v>871</v>
      </c>
      <c r="I36" s="36"/>
      <c r="J36" s="15"/>
      <c r="K36" s="15"/>
      <c r="L36" s="15"/>
      <c r="M36" s="16"/>
      <c r="N36" s="1"/>
      <c r="O36" s="1"/>
    </row>
    <row r="37" spans="1:15" x14ac:dyDescent="0.25">
      <c r="A37" s="13" t="s">
        <v>984</v>
      </c>
      <c r="B37" s="13" t="s">
        <v>209</v>
      </c>
      <c r="C37" s="14" t="s">
        <v>82</v>
      </c>
      <c r="D37" s="14" t="s">
        <v>207</v>
      </c>
      <c r="E37" s="13" t="s">
        <v>985</v>
      </c>
      <c r="F37" s="13" t="s">
        <v>24</v>
      </c>
      <c r="G37" s="21">
        <v>43234</v>
      </c>
      <c r="H37" s="14" t="s">
        <v>871</v>
      </c>
      <c r="I37" s="36"/>
      <c r="J37" s="15"/>
      <c r="K37" s="15"/>
      <c r="L37" s="15"/>
      <c r="M37" s="16"/>
      <c r="N37" s="1"/>
      <c r="O37" s="1"/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zoomScale="60" zoomScaleNormal="60"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C20" sqref="C20"/>
    </sheetView>
  </sheetViews>
  <sheetFormatPr defaultColWidth="11" defaultRowHeight="15.75" x14ac:dyDescent="0.25"/>
  <cols>
    <col min="1" max="6" width="19.5" style="1" customWidth="1"/>
    <col min="7" max="7" width="13.375" style="1" customWidth="1"/>
    <col min="8" max="8" width="14.125" style="1" customWidth="1"/>
    <col min="9" max="9" width="15.125" style="1" customWidth="1"/>
    <col min="10" max="10" width="17.125" style="1" customWidth="1"/>
    <col min="11" max="11" width="18.875" style="40" customWidth="1"/>
    <col min="12" max="12" width="23.375" style="9" customWidth="1"/>
    <col min="13" max="13" width="33.125" style="9" customWidth="1"/>
    <col min="14" max="14" width="22.375" style="9" customWidth="1"/>
    <col min="15" max="15" width="38.5" style="9" customWidth="1"/>
    <col min="16" max="17" width="11" style="1" customWidth="1"/>
    <col min="18" max="16384" width="11" style="1"/>
  </cols>
  <sheetData>
    <row r="1" spans="1:22" ht="54.75" customHeight="1" x14ac:dyDescent="0.4">
      <c r="A1" s="42" t="s">
        <v>1443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22" ht="27.75" hidden="1" x14ac:dyDescent="0.4">
      <c r="A2" s="4" t="s">
        <v>1395</v>
      </c>
      <c r="B2" s="33" t="s">
        <v>1397</v>
      </c>
      <c r="C2" s="30"/>
      <c r="D2" s="30"/>
      <c r="E2" s="30"/>
      <c r="F2" s="30"/>
      <c r="G2" s="30"/>
      <c r="H2" s="30"/>
      <c r="I2" s="30"/>
      <c r="J2" s="30"/>
      <c r="K2" s="39"/>
      <c r="L2" s="3"/>
      <c r="M2" s="3"/>
      <c r="N2" s="3"/>
      <c r="O2" s="3"/>
    </row>
    <row r="3" spans="1:22" ht="27.75" x14ac:dyDescent="0.4">
      <c r="A3" s="4" t="s">
        <v>1381</v>
      </c>
      <c r="B3" s="5"/>
      <c r="C3" s="5"/>
      <c r="D3" s="5"/>
      <c r="E3" s="5"/>
      <c r="F3" s="5"/>
      <c r="G3" s="30"/>
      <c r="H3" s="30"/>
      <c r="I3" s="30"/>
      <c r="J3" s="30"/>
      <c r="K3" s="39"/>
      <c r="L3" s="3"/>
      <c r="M3" s="3"/>
      <c r="N3" s="3"/>
      <c r="O3" s="3"/>
    </row>
    <row r="4" spans="1:22" ht="27.75" x14ac:dyDescent="0.4">
      <c r="A4" s="6" t="s">
        <v>1406</v>
      </c>
      <c r="B4" s="6" t="s">
        <v>1400</v>
      </c>
      <c r="C4" s="6" t="s">
        <v>1396</v>
      </c>
      <c r="D4" s="6" t="s">
        <v>1408</v>
      </c>
      <c r="E4" s="6" t="s">
        <v>1409</v>
      </c>
      <c r="F4" s="6" t="s">
        <v>1410</v>
      </c>
      <c r="G4" s="30"/>
      <c r="H4" s="30"/>
      <c r="I4" s="30"/>
      <c r="J4" s="30"/>
      <c r="K4" s="39"/>
      <c r="L4" s="3"/>
      <c r="M4" s="3"/>
      <c r="N4" s="3"/>
      <c r="O4" s="3"/>
      <c r="R4" s="26"/>
      <c r="S4" s="26"/>
      <c r="T4" s="26"/>
      <c r="U4" s="26"/>
      <c r="V4" s="26"/>
    </row>
    <row r="5" spans="1:22" ht="27.75" x14ac:dyDescent="0.4">
      <c r="A5" s="6" t="s">
        <v>1407</v>
      </c>
      <c r="B5" s="27">
        <f>VLOOKUP(B2,等级分布!A:F,2,0)</f>
        <v>0.1</v>
      </c>
      <c r="C5" s="27">
        <f>VLOOKUP(B2,等级分布!A:F,3,0)</f>
        <v>0.2</v>
      </c>
      <c r="D5" s="27">
        <f>VLOOKUP(B2,等级分布!A:F,4,0)</f>
        <v>0.3</v>
      </c>
      <c r="E5" s="27">
        <f>VLOOKUP(B2,等级分布!A:F,5,0)</f>
        <v>0.2</v>
      </c>
      <c r="F5" s="27">
        <f>VLOOKUP(B2,等级分布!A:F,6,0)</f>
        <v>0.2</v>
      </c>
      <c r="G5" s="30"/>
      <c r="H5" s="30"/>
      <c r="I5" s="30"/>
      <c r="J5" s="30"/>
      <c r="K5" s="39"/>
      <c r="L5" s="3"/>
      <c r="M5" s="3"/>
      <c r="N5" s="3"/>
      <c r="O5" s="3"/>
      <c r="R5" s="26"/>
      <c r="S5" s="26"/>
      <c r="T5" s="26"/>
      <c r="U5" s="26"/>
      <c r="V5" s="26"/>
    </row>
    <row r="6" spans="1:22" ht="27.75" x14ac:dyDescent="0.4">
      <c r="A6" s="6" t="s">
        <v>1382</v>
      </c>
      <c r="B6" s="7"/>
      <c r="C6" s="7"/>
      <c r="D6" s="7"/>
      <c r="E6" s="7"/>
      <c r="F6" s="7"/>
      <c r="G6" s="30"/>
      <c r="H6" s="30"/>
      <c r="I6" s="30"/>
      <c r="J6" s="30"/>
      <c r="K6" s="39"/>
      <c r="L6" s="3"/>
      <c r="M6" s="3"/>
      <c r="N6" s="3"/>
      <c r="O6" s="3"/>
    </row>
    <row r="7" spans="1:22" ht="18" hidden="1" x14ac:dyDescent="0.25">
      <c r="A7" s="6" t="s">
        <v>1383</v>
      </c>
      <c r="B7" s="8" t="str">
        <f>IF(B6&lt;=B5,"是","否")</f>
        <v>是</v>
      </c>
      <c r="C7" s="8" t="str">
        <f>IF(C6&lt;=C5,"是","否")</f>
        <v>是</v>
      </c>
      <c r="D7" s="8" t="str">
        <f>IF(D6&lt;=D5,"是","否")</f>
        <v>是</v>
      </c>
      <c r="E7" s="8" t="str">
        <f>IF(E6&lt;=E5,"是","否")</f>
        <v>是</v>
      </c>
      <c r="F7" s="8" t="str">
        <f>IF(F6&lt;=F5,"是","否")</f>
        <v>是</v>
      </c>
    </row>
    <row r="8" spans="1:22" ht="18" x14ac:dyDescent="0.25">
      <c r="A8" s="10" t="s">
        <v>1442</v>
      </c>
    </row>
    <row r="9" spans="1:22" ht="75" x14ac:dyDescent="0.25">
      <c r="A9" s="11" t="s">
        <v>0</v>
      </c>
      <c r="B9" s="11" t="s">
        <v>1</v>
      </c>
      <c r="C9" s="11" t="s">
        <v>1384</v>
      </c>
      <c r="D9" s="11" t="s">
        <v>1385</v>
      </c>
      <c r="E9" s="11" t="s">
        <v>1386</v>
      </c>
      <c r="F9" s="11" t="s">
        <v>1387</v>
      </c>
      <c r="G9" s="28" t="s">
        <v>1388</v>
      </c>
      <c r="H9" s="11" t="s">
        <v>1389</v>
      </c>
      <c r="I9" s="35" t="s">
        <v>1390</v>
      </c>
      <c r="J9" s="12" t="s">
        <v>1391</v>
      </c>
      <c r="K9" s="12" t="s">
        <v>1392</v>
      </c>
      <c r="L9" s="12" t="s">
        <v>1393</v>
      </c>
      <c r="M9" s="11" t="s">
        <v>1394</v>
      </c>
      <c r="N9" s="1" t="s">
        <v>1441</v>
      </c>
      <c r="O9" s="1"/>
    </row>
    <row r="10" spans="1:22" x14ac:dyDescent="0.25">
      <c r="A10" s="13" t="s">
        <v>1450</v>
      </c>
      <c r="B10" s="13" t="s">
        <v>2</v>
      </c>
      <c r="C10" s="14" t="s">
        <v>3</v>
      </c>
      <c r="D10" s="14"/>
      <c r="E10" s="13" t="s">
        <v>4</v>
      </c>
      <c r="F10" s="13" t="s">
        <v>1451</v>
      </c>
      <c r="G10" s="21">
        <v>39979</v>
      </c>
      <c r="H10" s="14" t="s">
        <v>2</v>
      </c>
      <c r="I10" s="36"/>
      <c r="J10" s="15"/>
      <c r="K10" s="15"/>
      <c r="L10" s="15"/>
      <c r="M10" s="16"/>
      <c r="N10" s="1"/>
      <c r="O10" s="1"/>
    </row>
    <row r="11" spans="1:22" x14ac:dyDescent="0.25">
      <c r="A11" s="13" t="s">
        <v>35</v>
      </c>
      <c r="B11" s="13" t="s">
        <v>36</v>
      </c>
      <c r="C11" s="14" t="s">
        <v>3</v>
      </c>
      <c r="D11" s="14"/>
      <c r="E11" s="13" t="s">
        <v>37</v>
      </c>
      <c r="F11" s="13" t="s">
        <v>816</v>
      </c>
      <c r="G11" s="21">
        <v>40653</v>
      </c>
      <c r="H11" s="14" t="s">
        <v>2</v>
      </c>
      <c r="I11" s="36"/>
      <c r="J11" s="15"/>
      <c r="K11" s="15"/>
      <c r="L11" s="15"/>
      <c r="M11" s="16"/>
      <c r="N11" s="1"/>
      <c r="O11" s="1"/>
    </row>
    <row r="12" spans="1:22" x14ac:dyDescent="0.25">
      <c r="A12" s="13" t="s">
        <v>360</v>
      </c>
      <c r="B12" s="13" t="s">
        <v>361</v>
      </c>
      <c r="C12" s="14" t="s">
        <v>3</v>
      </c>
      <c r="D12" s="14"/>
      <c r="E12" s="13" t="s">
        <v>362</v>
      </c>
      <c r="F12" s="13" t="s">
        <v>363</v>
      </c>
      <c r="G12" s="21">
        <v>42493</v>
      </c>
      <c r="H12" s="14" t="s">
        <v>2</v>
      </c>
      <c r="I12" s="36"/>
      <c r="J12" s="15"/>
      <c r="K12" s="15"/>
      <c r="L12" s="15"/>
      <c r="M12" s="16"/>
      <c r="N12" s="1"/>
      <c r="O12" s="1"/>
    </row>
    <row r="13" spans="1:22" x14ac:dyDescent="0.25">
      <c r="A13" s="13" t="s">
        <v>746</v>
      </c>
      <c r="B13" s="13" t="s">
        <v>747</v>
      </c>
      <c r="C13" s="14" t="s">
        <v>3</v>
      </c>
      <c r="D13" s="14"/>
      <c r="E13" s="13" t="s">
        <v>748</v>
      </c>
      <c r="F13" s="13" t="s">
        <v>93</v>
      </c>
      <c r="G13" s="21">
        <v>42898</v>
      </c>
      <c r="H13" s="14" t="s">
        <v>2</v>
      </c>
      <c r="I13" s="36"/>
      <c r="J13" s="15"/>
      <c r="K13" s="15"/>
      <c r="L13" s="15"/>
      <c r="M13" s="16"/>
      <c r="N13" s="1"/>
      <c r="O13" s="1"/>
    </row>
    <row r="14" spans="1:22" x14ac:dyDescent="0.25">
      <c r="A14" s="13" t="s">
        <v>768</v>
      </c>
      <c r="B14" s="13" t="s">
        <v>42</v>
      </c>
      <c r="C14" s="14" t="s">
        <v>3</v>
      </c>
      <c r="D14" s="14"/>
      <c r="E14" s="13" t="s">
        <v>64</v>
      </c>
      <c r="F14" s="13" t="s">
        <v>363</v>
      </c>
      <c r="G14" s="21">
        <v>42954</v>
      </c>
      <c r="H14" s="14" t="s">
        <v>2</v>
      </c>
      <c r="I14" s="36"/>
      <c r="J14" s="15"/>
      <c r="K14" s="15"/>
      <c r="L14" s="15"/>
      <c r="M14" s="16"/>
      <c r="N14" s="1"/>
      <c r="O14" s="1"/>
    </row>
    <row r="15" spans="1:22" x14ac:dyDescent="0.25">
      <c r="A15" s="13" t="s">
        <v>814</v>
      </c>
      <c r="B15" s="13" t="s">
        <v>236</v>
      </c>
      <c r="C15" s="14" t="s">
        <v>3</v>
      </c>
      <c r="D15" s="14"/>
      <c r="E15" s="13" t="s">
        <v>815</v>
      </c>
      <c r="F15" s="13" t="s">
        <v>816</v>
      </c>
      <c r="G15" s="21">
        <v>43003</v>
      </c>
      <c r="H15" s="14" t="s">
        <v>2</v>
      </c>
      <c r="I15" s="36"/>
      <c r="J15" s="15"/>
      <c r="K15" s="15"/>
      <c r="L15" s="15"/>
      <c r="M15" s="16"/>
      <c r="N15" s="1"/>
      <c r="O15" s="1"/>
    </row>
    <row r="16" spans="1:22" x14ac:dyDescent="0.25">
      <c r="A16" s="13" t="s">
        <v>827</v>
      </c>
      <c r="B16" s="13" t="s">
        <v>828</v>
      </c>
      <c r="C16" s="14" t="s">
        <v>3</v>
      </c>
      <c r="D16" s="14"/>
      <c r="E16" s="13" t="s">
        <v>64</v>
      </c>
      <c r="F16" s="13"/>
      <c r="G16" s="21">
        <v>42991</v>
      </c>
      <c r="H16" s="14" t="s">
        <v>2</v>
      </c>
      <c r="I16" s="36"/>
      <c r="J16" s="15"/>
      <c r="K16" s="15"/>
      <c r="L16" s="15"/>
      <c r="M16" s="16"/>
      <c r="N16" s="1"/>
      <c r="O16" s="1"/>
    </row>
    <row r="17" spans="1:15" x14ac:dyDescent="0.25">
      <c r="A17" s="13" t="s">
        <v>5</v>
      </c>
      <c r="B17" s="13" t="s">
        <v>1452</v>
      </c>
      <c r="C17" s="14" t="s">
        <v>3</v>
      </c>
      <c r="D17" s="14"/>
      <c r="E17" s="13"/>
      <c r="F17" s="13"/>
      <c r="G17" s="21"/>
      <c r="H17" s="14" t="s">
        <v>2</v>
      </c>
      <c r="I17" s="36"/>
      <c r="J17" s="15"/>
      <c r="K17" s="15"/>
      <c r="L17" s="15"/>
      <c r="M17" s="16"/>
      <c r="N17" s="1"/>
      <c r="O17" s="1"/>
    </row>
    <row r="18" spans="1:15" x14ac:dyDescent="0.25">
      <c r="A18" s="13"/>
      <c r="B18" s="13" t="s">
        <v>1453</v>
      </c>
      <c r="C18" s="14" t="s">
        <v>3</v>
      </c>
      <c r="D18" s="14"/>
      <c r="E18" s="13"/>
      <c r="F18" s="13"/>
      <c r="G18" s="21"/>
      <c r="H18" s="14" t="s">
        <v>2</v>
      </c>
      <c r="I18" s="36"/>
      <c r="J18" s="15"/>
      <c r="K18" s="15"/>
      <c r="L18" s="15"/>
      <c r="M18" s="16"/>
      <c r="N18" s="1"/>
      <c r="O18" s="1"/>
    </row>
    <row r="19" spans="1:15" x14ac:dyDescent="0.25">
      <c r="A19" s="13"/>
      <c r="B19" s="13" t="s">
        <v>1454</v>
      </c>
      <c r="C19" s="14" t="s">
        <v>3</v>
      </c>
      <c r="D19" s="14"/>
      <c r="E19" s="13"/>
      <c r="F19" s="13"/>
      <c r="G19" s="21"/>
      <c r="H19" s="14" t="s">
        <v>2</v>
      </c>
      <c r="I19" s="36"/>
      <c r="J19" s="15"/>
      <c r="K19" s="15"/>
      <c r="L19" s="15"/>
      <c r="M19" s="16"/>
      <c r="N19" s="1"/>
      <c r="O19" s="1"/>
    </row>
    <row r="20" spans="1:15" x14ac:dyDescent="0.25">
      <c r="A20" s="13" t="s">
        <v>333</v>
      </c>
      <c r="B20" s="13" t="s">
        <v>334</v>
      </c>
      <c r="C20" s="14" t="s">
        <v>3</v>
      </c>
      <c r="D20" s="14"/>
      <c r="E20" s="13" t="s">
        <v>335</v>
      </c>
      <c r="F20" s="13" t="s">
        <v>80</v>
      </c>
      <c r="G20" s="21">
        <v>42476</v>
      </c>
      <c r="H20" s="14" t="s">
        <v>336</v>
      </c>
      <c r="I20" s="36"/>
      <c r="J20" s="15"/>
      <c r="K20" s="15"/>
      <c r="L20" s="15"/>
      <c r="M20" s="16"/>
      <c r="N20" s="1"/>
      <c r="O20" s="1"/>
    </row>
    <row r="21" spans="1:15" x14ac:dyDescent="0.25">
      <c r="A21" s="13" t="s">
        <v>744</v>
      </c>
      <c r="B21" s="13" t="s">
        <v>745</v>
      </c>
      <c r="C21" s="14" t="s">
        <v>3</v>
      </c>
      <c r="D21" s="14"/>
      <c r="E21" s="13" t="s">
        <v>335</v>
      </c>
      <c r="F21" s="13" t="s">
        <v>93</v>
      </c>
      <c r="G21" s="21">
        <v>43059</v>
      </c>
      <c r="H21" s="14" t="s">
        <v>336</v>
      </c>
      <c r="I21" s="36"/>
      <c r="J21" s="15"/>
      <c r="K21" s="15"/>
      <c r="L21" s="15"/>
      <c r="M21" s="16"/>
      <c r="N21" s="1"/>
      <c r="O21" s="1"/>
    </row>
    <row r="22" spans="1:15" x14ac:dyDescent="0.25">
      <c r="A22" s="13" t="s">
        <v>865</v>
      </c>
      <c r="B22" s="13" t="s">
        <v>336</v>
      </c>
      <c r="C22" s="14" t="s">
        <v>3</v>
      </c>
      <c r="D22" s="14"/>
      <c r="E22" s="13" t="s">
        <v>866</v>
      </c>
      <c r="F22" s="13" t="s">
        <v>24</v>
      </c>
      <c r="G22" s="21">
        <v>43070</v>
      </c>
      <c r="H22" s="14" t="s">
        <v>2</v>
      </c>
      <c r="I22" s="36"/>
      <c r="J22" s="15"/>
      <c r="K22" s="15"/>
      <c r="L22" s="15"/>
      <c r="M22" s="16"/>
      <c r="N22" s="1"/>
      <c r="O22" s="1"/>
    </row>
    <row r="23" spans="1:15" x14ac:dyDescent="0.25">
      <c r="A23" s="13" t="s">
        <v>883</v>
      </c>
      <c r="B23" s="13" t="s">
        <v>884</v>
      </c>
      <c r="C23" s="14" t="s">
        <v>3</v>
      </c>
      <c r="D23" s="14"/>
      <c r="E23" s="13" t="s">
        <v>335</v>
      </c>
      <c r="F23" s="13" t="s">
        <v>80</v>
      </c>
      <c r="G23" s="21">
        <v>43122</v>
      </c>
      <c r="H23" s="14" t="s">
        <v>336</v>
      </c>
      <c r="I23" s="36"/>
      <c r="J23" s="15"/>
      <c r="K23" s="15"/>
      <c r="L23" s="15"/>
      <c r="M23" s="16"/>
      <c r="N23" s="1"/>
      <c r="O23" s="1"/>
    </row>
    <row r="24" spans="1:15" x14ac:dyDescent="0.25">
      <c r="A24" s="13" t="s">
        <v>743</v>
      </c>
      <c r="B24" s="13" t="s">
        <v>540</v>
      </c>
      <c r="C24" s="14" t="s">
        <v>3</v>
      </c>
      <c r="D24" s="14"/>
      <c r="E24" s="13" t="s">
        <v>64</v>
      </c>
      <c r="F24" s="13" t="s">
        <v>24</v>
      </c>
      <c r="G24" s="21">
        <v>42878</v>
      </c>
      <c r="H24" s="14" t="s">
        <v>2</v>
      </c>
      <c r="I24" s="36"/>
      <c r="J24" s="15"/>
      <c r="K24" s="15"/>
      <c r="L24" s="15"/>
      <c r="M24" s="16"/>
      <c r="N24" s="1"/>
      <c r="O24" s="1"/>
    </row>
    <row r="25" spans="1:15" x14ac:dyDescent="0.25">
      <c r="A25" s="13" t="s">
        <v>1455</v>
      </c>
      <c r="B25" s="13" t="s">
        <v>1456</v>
      </c>
      <c r="C25" s="14" t="s">
        <v>3</v>
      </c>
      <c r="D25" s="14"/>
      <c r="E25" s="13" t="s">
        <v>64</v>
      </c>
      <c r="F25" s="13"/>
      <c r="G25" s="21">
        <v>43468</v>
      </c>
      <c r="H25" s="14" t="s">
        <v>2</v>
      </c>
      <c r="I25" s="36"/>
      <c r="J25" s="15"/>
      <c r="K25" s="15"/>
      <c r="L25" s="15"/>
      <c r="M25" s="16"/>
      <c r="N25" s="1"/>
      <c r="O25" s="1"/>
    </row>
    <row r="26" spans="1:15" x14ac:dyDescent="0.25">
      <c r="A26" s="13" t="s">
        <v>533</v>
      </c>
      <c r="B26" s="13" t="s">
        <v>534</v>
      </c>
      <c r="C26" s="14" t="s">
        <v>3</v>
      </c>
      <c r="D26" s="14"/>
      <c r="E26" s="13" t="s">
        <v>535</v>
      </c>
      <c r="F26" s="13" t="s">
        <v>24</v>
      </c>
      <c r="G26" s="21">
        <v>42627</v>
      </c>
      <c r="H26" s="14" t="s">
        <v>2</v>
      </c>
      <c r="I26" s="36"/>
      <c r="J26" s="15"/>
      <c r="K26" s="15"/>
      <c r="L26" s="15"/>
      <c r="M26" s="16"/>
      <c r="N26" s="1"/>
      <c r="O26" s="1"/>
    </row>
    <row r="27" spans="1:15" x14ac:dyDescent="0.25">
      <c r="A27" s="13" t="s">
        <v>39</v>
      </c>
      <c r="B27" s="13" t="s">
        <v>40</v>
      </c>
      <c r="C27" s="14" t="s">
        <v>3</v>
      </c>
      <c r="D27" s="14"/>
      <c r="E27" s="13" t="s">
        <v>64</v>
      </c>
      <c r="F27" s="13" t="s">
        <v>43</v>
      </c>
      <c r="G27" s="21">
        <v>41267</v>
      </c>
      <c r="H27" s="14" t="s">
        <v>2</v>
      </c>
      <c r="I27" s="36"/>
      <c r="J27" s="15"/>
      <c r="K27" s="15"/>
      <c r="L27" s="15"/>
      <c r="M27" s="16"/>
      <c r="N27" s="1"/>
      <c r="O27" s="1"/>
    </row>
    <row r="28" spans="1:15" x14ac:dyDescent="0.25">
      <c r="A28" s="13" t="s">
        <v>433</v>
      </c>
      <c r="B28" s="13" t="s">
        <v>434</v>
      </c>
      <c r="C28" s="14" t="s">
        <v>3</v>
      </c>
      <c r="D28" s="14"/>
      <c r="E28" s="13" t="s">
        <v>435</v>
      </c>
      <c r="F28" s="13" t="s">
        <v>363</v>
      </c>
      <c r="G28" s="21">
        <v>42552</v>
      </c>
      <c r="H28" s="14" t="s">
        <v>2</v>
      </c>
      <c r="I28" s="36"/>
      <c r="J28" s="15"/>
      <c r="K28" s="15"/>
      <c r="L28" s="15"/>
      <c r="M28" s="16"/>
      <c r="N28" s="1"/>
      <c r="O28" s="1"/>
    </row>
    <row r="29" spans="1:15" x14ac:dyDescent="0.25">
      <c r="A29" s="13" t="s">
        <v>497</v>
      </c>
      <c r="B29" s="13" t="s">
        <v>498</v>
      </c>
      <c r="C29" s="14" t="s">
        <v>3</v>
      </c>
      <c r="D29" s="14"/>
      <c r="E29" s="13" t="s">
        <v>64</v>
      </c>
      <c r="F29" s="13" t="s">
        <v>60</v>
      </c>
      <c r="G29" s="21">
        <v>42597</v>
      </c>
      <c r="H29" s="14" t="s">
        <v>2</v>
      </c>
      <c r="I29" s="36"/>
      <c r="J29" s="15"/>
      <c r="K29" s="15"/>
      <c r="L29" s="15"/>
      <c r="M29" s="16"/>
      <c r="N29" s="1"/>
      <c r="O29" s="1"/>
    </row>
    <row r="30" spans="1:15" x14ac:dyDescent="0.25">
      <c r="A30" s="13" t="s">
        <v>662</v>
      </c>
      <c r="B30" s="13" t="s">
        <v>663</v>
      </c>
      <c r="C30" s="14" t="s">
        <v>3</v>
      </c>
      <c r="D30" s="14"/>
      <c r="E30" s="13" t="s">
        <v>435</v>
      </c>
      <c r="F30" s="13" t="s">
        <v>43</v>
      </c>
      <c r="G30" s="21">
        <v>42758</v>
      </c>
      <c r="H30" s="14" t="s">
        <v>2</v>
      </c>
      <c r="I30" s="36"/>
      <c r="J30" s="15"/>
      <c r="K30" s="15"/>
      <c r="L30" s="15"/>
      <c r="M30" s="16"/>
      <c r="N30" s="1"/>
      <c r="O30" s="1"/>
    </row>
    <row r="31" spans="1:15" x14ac:dyDescent="0.25">
      <c r="A31" s="13" t="s">
        <v>872</v>
      </c>
      <c r="B31" s="13" t="s">
        <v>873</v>
      </c>
      <c r="C31" s="14" t="s">
        <v>3</v>
      </c>
      <c r="D31" s="14"/>
      <c r="E31" s="13" t="s">
        <v>1457</v>
      </c>
      <c r="F31" s="13" t="s">
        <v>816</v>
      </c>
      <c r="G31" s="21">
        <v>43160</v>
      </c>
      <c r="H31" s="14" t="s">
        <v>2</v>
      </c>
      <c r="I31" s="36"/>
      <c r="J31" s="15"/>
      <c r="K31" s="15"/>
      <c r="L31" s="15"/>
      <c r="M31" s="16"/>
      <c r="N31" s="1"/>
      <c r="O31" s="1"/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8"/>
  <sheetViews>
    <sheetView zoomScale="60" zoomScaleNormal="60" workbookViewId="0">
      <pane xSplit="2" ySplit="9" topLeftCell="C32" activePane="bottomRight" state="frozen"/>
      <selection pane="topRight" activeCell="C1" sqref="C1"/>
      <selection pane="bottomLeft" activeCell="A9" sqref="A9"/>
      <selection pane="bottomRight" activeCell="A140" sqref="A140:XFD237"/>
    </sheetView>
  </sheetViews>
  <sheetFormatPr defaultColWidth="11" defaultRowHeight="15.75" x14ac:dyDescent="0.25"/>
  <cols>
    <col min="1" max="6" width="19.5" style="1" customWidth="1"/>
    <col min="7" max="7" width="13.375" style="1" customWidth="1"/>
    <col min="8" max="8" width="14.125" style="32" customWidth="1"/>
    <col min="9" max="9" width="15.125" style="1" customWidth="1"/>
    <col min="10" max="11" width="17.125" style="1" customWidth="1"/>
    <col min="12" max="12" width="18.875" style="40" customWidth="1"/>
    <col min="13" max="13" width="23.375" style="9" customWidth="1"/>
    <col min="14" max="14" width="33.125" style="9" customWidth="1"/>
    <col min="15" max="15" width="22.375" style="9" customWidth="1"/>
    <col min="16" max="16" width="38.5" style="9" customWidth="1"/>
    <col min="17" max="18" width="0" style="1" hidden="1" customWidth="1"/>
    <col min="19" max="16384" width="11" style="1"/>
  </cols>
  <sheetData>
    <row r="1" spans="1:23" ht="54.75" customHeight="1" x14ac:dyDescent="0.4">
      <c r="A1" s="42" t="s">
        <v>1447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23" ht="27.75" hidden="1" x14ac:dyDescent="0.4">
      <c r="A2" s="4" t="s">
        <v>1395</v>
      </c>
      <c r="B2" s="33" t="s">
        <v>1433</v>
      </c>
      <c r="C2" s="2"/>
      <c r="D2" s="2"/>
      <c r="E2" s="2"/>
      <c r="F2" s="2"/>
      <c r="G2" s="2"/>
      <c r="H2" s="31"/>
      <c r="I2" s="2"/>
      <c r="J2" s="2"/>
      <c r="K2" s="30"/>
      <c r="L2" s="39"/>
      <c r="M2" s="3"/>
      <c r="N2" s="3"/>
      <c r="O2" s="3"/>
      <c r="P2" s="3"/>
    </row>
    <row r="3" spans="1:23" ht="27.75" x14ac:dyDescent="0.4">
      <c r="A3" s="4" t="s">
        <v>1381</v>
      </c>
      <c r="B3" s="5"/>
      <c r="C3" s="5"/>
      <c r="D3" s="5"/>
      <c r="E3" s="5"/>
      <c r="F3" s="5"/>
      <c r="G3" s="2"/>
      <c r="H3" s="31"/>
      <c r="I3" s="2"/>
      <c r="J3" s="2"/>
      <c r="K3" s="30"/>
      <c r="L3" s="39"/>
      <c r="M3" s="3"/>
      <c r="N3" s="3"/>
      <c r="O3" s="3"/>
      <c r="P3" s="3"/>
    </row>
    <row r="4" spans="1:23" ht="27.75" x14ac:dyDescent="0.4">
      <c r="A4" s="6" t="s">
        <v>1406</v>
      </c>
      <c r="B4" s="6" t="s">
        <v>1400</v>
      </c>
      <c r="C4" s="6" t="s">
        <v>1396</v>
      </c>
      <c r="D4" s="6" t="s">
        <v>1397</v>
      </c>
      <c r="E4" s="6" t="s">
        <v>1402</v>
      </c>
      <c r="F4" s="6" t="s">
        <v>1403</v>
      </c>
      <c r="G4" s="2"/>
      <c r="H4" s="31"/>
      <c r="I4" s="2"/>
      <c r="J4" s="2"/>
      <c r="K4" s="30"/>
      <c r="L4" s="39"/>
      <c r="M4" s="3"/>
      <c r="N4" s="3"/>
      <c r="O4" s="3"/>
      <c r="P4" s="3"/>
      <c r="S4" s="26"/>
      <c r="T4" s="26"/>
      <c r="U4" s="26"/>
      <c r="V4" s="26"/>
      <c r="W4" s="26"/>
    </row>
    <row r="5" spans="1:23" ht="27.75" x14ac:dyDescent="0.4">
      <c r="A5" s="6" t="s">
        <v>1407</v>
      </c>
      <c r="B5" s="27">
        <f>VLOOKUP(B2,等级分布!A:F,2,0)</f>
        <v>0.1</v>
      </c>
      <c r="C5" s="27">
        <f>VLOOKUP(B2,等级分布!A:F,3,0)</f>
        <v>0.2</v>
      </c>
      <c r="D5" s="27">
        <f>VLOOKUP(B2,等级分布!A:F,4,0)</f>
        <v>0.3</v>
      </c>
      <c r="E5" s="27">
        <f>VLOOKUP(B2,等级分布!A:F,5,0)</f>
        <v>0.2</v>
      </c>
      <c r="F5" s="27">
        <f>VLOOKUP(B2,等级分布!A:F,6,0)</f>
        <v>0.2</v>
      </c>
      <c r="G5" s="2"/>
      <c r="H5" s="31"/>
      <c r="I5" s="2"/>
      <c r="J5" s="2"/>
      <c r="K5" s="30"/>
      <c r="L5" s="39"/>
      <c r="M5" s="3"/>
      <c r="N5" s="3"/>
      <c r="O5" s="3"/>
      <c r="P5" s="3"/>
      <c r="S5" s="26"/>
      <c r="T5" s="26"/>
      <c r="U5" s="26"/>
      <c r="V5" s="26"/>
      <c r="W5" s="26"/>
    </row>
    <row r="6" spans="1:23" ht="27.75" x14ac:dyDescent="0.4">
      <c r="A6" s="6" t="s">
        <v>1382</v>
      </c>
      <c r="B6" s="7"/>
      <c r="C6" s="7"/>
      <c r="D6" s="7"/>
      <c r="E6" s="7"/>
      <c r="F6" s="7"/>
      <c r="G6" s="2"/>
      <c r="H6" s="31"/>
      <c r="I6" s="2"/>
      <c r="J6" s="2"/>
      <c r="K6" s="30"/>
      <c r="L6" s="39"/>
      <c r="M6" s="3"/>
      <c r="N6" s="3"/>
      <c r="O6" s="3"/>
      <c r="P6" s="3"/>
    </row>
    <row r="7" spans="1:23" ht="18" hidden="1" x14ac:dyDescent="0.25">
      <c r="A7" s="6" t="s">
        <v>1383</v>
      </c>
      <c r="B7" s="8" t="str">
        <f>IF(B6&lt;=B5,"是","否")</f>
        <v>是</v>
      </c>
      <c r="C7" s="8" t="str">
        <f>IF(C6&lt;=C5,"是","否")</f>
        <v>是</v>
      </c>
      <c r="D7" s="8" t="str">
        <f>IF(D6&lt;=D5,"是","否")</f>
        <v>是</v>
      </c>
      <c r="E7" s="8" t="str">
        <f>IF(E6&lt;=E5,"是","否")</f>
        <v>是</v>
      </c>
      <c r="F7" s="8" t="str">
        <f>IF(F6&lt;=F5,"是","否")</f>
        <v>是</v>
      </c>
    </row>
    <row r="8" spans="1:23" ht="18" x14ac:dyDescent="0.25">
      <c r="A8" s="10" t="s">
        <v>1442</v>
      </c>
    </row>
    <row r="9" spans="1:23" ht="75" x14ac:dyDescent="0.25">
      <c r="A9" s="11" t="s">
        <v>0</v>
      </c>
      <c r="B9" s="11" t="s">
        <v>1</v>
      </c>
      <c r="C9" s="11" t="s">
        <v>1384</v>
      </c>
      <c r="D9" s="11" t="s">
        <v>1385</v>
      </c>
      <c r="E9" s="11" t="s">
        <v>1386</v>
      </c>
      <c r="F9" s="11" t="s">
        <v>1387</v>
      </c>
      <c r="G9" s="28" t="s">
        <v>1388</v>
      </c>
      <c r="H9" s="11" t="s">
        <v>1389</v>
      </c>
      <c r="I9" s="35" t="s">
        <v>1390</v>
      </c>
      <c r="J9" s="12" t="s">
        <v>1391</v>
      </c>
      <c r="K9" s="12" t="s">
        <v>1392</v>
      </c>
      <c r="L9" s="12" t="s">
        <v>1393</v>
      </c>
      <c r="M9" s="11" t="s">
        <v>1394</v>
      </c>
      <c r="N9" s="1" t="s">
        <v>1440</v>
      </c>
      <c r="O9" s="1"/>
      <c r="P9" s="1"/>
    </row>
    <row r="10" spans="1:23" x14ac:dyDescent="0.25">
      <c r="A10" s="13" t="s">
        <v>1328</v>
      </c>
      <c r="B10" s="13" t="s">
        <v>1329</v>
      </c>
      <c r="C10" s="20" t="s">
        <v>1458</v>
      </c>
      <c r="D10" s="13"/>
      <c r="E10" s="13" t="s">
        <v>1330</v>
      </c>
      <c r="F10" s="13" t="s">
        <v>12</v>
      </c>
      <c r="G10" s="21">
        <v>43318</v>
      </c>
      <c r="H10" s="13" t="s">
        <v>62</v>
      </c>
      <c r="I10" s="36"/>
      <c r="J10" s="15"/>
      <c r="K10" s="15"/>
      <c r="L10" s="15"/>
      <c r="M10" s="16"/>
      <c r="N10" s="1"/>
      <c r="O10" s="1"/>
      <c r="P10" s="1"/>
    </row>
    <row r="11" spans="1:23" x14ac:dyDescent="0.25">
      <c r="A11" s="13" t="s">
        <v>1117</v>
      </c>
      <c r="B11" s="13" t="s">
        <v>1118</v>
      </c>
      <c r="C11" s="14" t="s">
        <v>1458</v>
      </c>
      <c r="D11" s="14"/>
      <c r="E11" s="13" t="s">
        <v>1119</v>
      </c>
      <c r="F11" s="13" t="s">
        <v>12</v>
      </c>
      <c r="G11" s="21">
        <v>43292</v>
      </c>
      <c r="H11" s="14" t="s">
        <v>62</v>
      </c>
      <c r="I11" s="36"/>
      <c r="J11" s="15"/>
      <c r="K11" s="15"/>
      <c r="L11" s="15"/>
      <c r="M11" s="16"/>
      <c r="N11" s="1"/>
      <c r="O11" s="1"/>
      <c r="P11" s="1"/>
    </row>
    <row r="12" spans="1:23" x14ac:dyDescent="0.25">
      <c r="A12" s="13" t="s">
        <v>20</v>
      </c>
      <c r="B12" s="13" t="s">
        <v>21</v>
      </c>
      <c r="C12" s="14" t="s">
        <v>1458</v>
      </c>
      <c r="D12" s="14" t="s">
        <v>1459</v>
      </c>
      <c r="E12" s="13" t="s">
        <v>22</v>
      </c>
      <c r="F12" s="13" t="s">
        <v>24</v>
      </c>
      <c r="G12" s="21">
        <v>40299</v>
      </c>
      <c r="H12" s="14" t="s">
        <v>62</v>
      </c>
      <c r="I12" s="36"/>
      <c r="J12" s="15"/>
      <c r="K12" s="15"/>
      <c r="L12" s="15"/>
      <c r="M12" s="16"/>
      <c r="N12" s="1"/>
      <c r="O12" s="1"/>
      <c r="P12" s="1"/>
    </row>
    <row r="13" spans="1:23" x14ac:dyDescent="0.25">
      <c r="A13" s="13" t="s">
        <v>701</v>
      </c>
      <c r="B13" s="13" t="s">
        <v>702</v>
      </c>
      <c r="C13" s="14" t="s">
        <v>1458</v>
      </c>
      <c r="D13" s="14" t="s">
        <v>1459</v>
      </c>
      <c r="E13" s="13" t="s">
        <v>703</v>
      </c>
      <c r="F13" s="13" t="s">
        <v>80</v>
      </c>
      <c r="G13" s="21">
        <v>42826</v>
      </c>
      <c r="H13" s="14" t="s">
        <v>21</v>
      </c>
      <c r="I13" s="36"/>
      <c r="J13" s="15"/>
      <c r="K13" s="15"/>
      <c r="L13" s="15"/>
      <c r="M13" s="16"/>
      <c r="N13" s="1"/>
      <c r="O13" s="1"/>
      <c r="P13" s="1"/>
    </row>
    <row r="14" spans="1:23" x14ac:dyDescent="0.25">
      <c r="A14" s="13" t="s">
        <v>801</v>
      </c>
      <c r="B14" s="13" t="s">
        <v>802</v>
      </c>
      <c r="C14" s="14" t="s">
        <v>1458</v>
      </c>
      <c r="D14" s="14" t="s">
        <v>1459</v>
      </c>
      <c r="E14" s="13" t="s">
        <v>279</v>
      </c>
      <c r="F14" s="13" t="s">
        <v>157</v>
      </c>
      <c r="G14" s="21">
        <v>42989</v>
      </c>
      <c r="H14" s="14" t="s">
        <v>21</v>
      </c>
      <c r="I14" s="36"/>
      <c r="J14" s="15"/>
      <c r="K14" s="15"/>
      <c r="L14" s="15"/>
      <c r="M14" s="16"/>
      <c r="N14" s="1"/>
      <c r="O14" s="1"/>
      <c r="P14" s="1"/>
    </row>
    <row r="15" spans="1:23" x14ac:dyDescent="0.25">
      <c r="A15" s="13" t="s">
        <v>980</v>
      </c>
      <c r="B15" s="13" t="s">
        <v>981</v>
      </c>
      <c r="C15" s="14" t="s">
        <v>1458</v>
      </c>
      <c r="D15" s="14" t="s">
        <v>1459</v>
      </c>
      <c r="E15" s="13" t="s">
        <v>703</v>
      </c>
      <c r="F15" s="13" t="s">
        <v>80</v>
      </c>
      <c r="G15" s="21">
        <v>43229</v>
      </c>
      <c r="H15" s="14" t="s">
        <v>21</v>
      </c>
      <c r="I15" s="36"/>
      <c r="J15" s="15"/>
      <c r="K15" s="15"/>
      <c r="L15" s="15"/>
      <c r="M15" s="16"/>
      <c r="N15" s="1"/>
      <c r="O15" s="1"/>
      <c r="P15" s="1"/>
    </row>
    <row r="16" spans="1:23" x14ac:dyDescent="0.25">
      <c r="A16" s="13" t="s">
        <v>982</v>
      </c>
      <c r="B16" s="13" t="s">
        <v>983</v>
      </c>
      <c r="C16" s="14" t="s">
        <v>1458</v>
      </c>
      <c r="D16" s="14" t="s">
        <v>1459</v>
      </c>
      <c r="E16" s="13" t="s">
        <v>180</v>
      </c>
      <c r="F16" s="13" t="s">
        <v>80</v>
      </c>
      <c r="G16" s="21">
        <v>43234</v>
      </c>
      <c r="H16" s="14" t="s">
        <v>21</v>
      </c>
      <c r="I16" s="36"/>
      <c r="J16" s="15"/>
      <c r="K16" s="15"/>
      <c r="L16" s="15"/>
      <c r="M16" s="16"/>
      <c r="N16" s="1"/>
      <c r="O16" s="1"/>
      <c r="P16" s="1"/>
    </row>
    <row r="17" spans="1:16" x14ac:dyDescent="0.25">
      <c r="A17" s="13" t="s">
        <v>1460</v>
      </c>
      <c r="B17" s="13" t="s">
        <v>1461</v>
      </c>
      <c r="C17" s="14" t="s">
        <v>1458</v>
      </c>
      <c r="D17" s="14" t="s">
        <v>1459</v>
      </c>
      <c r="E17" s="13" t="s">
        <v>1462</v>
      </c>
      <c r="F17" s="13" t="s">
        <v>55</v>
      </c>
      <c r="G17" s="21">
        <v>43497</v>
      </c>
      <c r="H17" s="14" t="s">
        <v>21</v>
      </c>
      <c r="I17" s="36"/>
      <c r="J17" s="15"/>
      <c r="K17" s="15"/>
      <c r="L17" s="15"/>
      <c r="M17" s="16"/>
      <c r="N17" s="1"/>
      <c r="O17" s="1"/>
      <c r="P17" s="1"/>
    </row>
    <row r="18" spans="1:16" x14ac:dyDescent="0.25">
      <c r="A18" s="13" t="s">
        <v>1463</v>
      </c>
      <c r="B18" s="13" t="s">
        <v>1464</v>
      </c>
      <c r="C18" s="14" t="s">
        <v>1458</v>
      </c>
      <c r="D18" s="14" t="s">
        <v>1465</v>
      </c>
      <c r="E18" s="13" t="s">
        <v>1466</v>
      </c>
      <c r="F18" s="13" t="s">
        <v>19</v>
      </c>
      <c r="G18" s="21">
        <v>43514</v>
      </c>
      <c r="H18" s="14" t="s">
        <v>62</v>
      </c>
      <c r="I18" s="36"/>
      <c r="J18" s="15"/>
      <c r="K18" s="15"/>
      <c r="L18" s="15"/>
      <c r="M18" s="16"/>
      <c r="N18" s="1"/>
      <c r="O18" s="1"/>
      <c r="P18" s="1"/>
    </row>
    <row r="19" spans="1:16" x14ac:dyDescent="0.25">
      <c r="A19" s="13" t="s">
        <v>1467</v>
      </c>
      <c r="B19" s="13" t="s">
        <v>1468</v>
      </c>
      <c r="C19" s="14" t="s">
        <v>1458</v>
      </c>
      <c r="D19" s="14" t="s">
        <v>1465</v>
      </c>
      <c r="E19" s="13" t="s">
        <v>1469</v>
      </c>
      <c r="F19" s="13" t="s">
        <v>19</v>
      </c>
      <c r="G19" s="21">
        <v>43521</v>
      </c>
      <c r="H19" s="14" t="s">
        <v>62</v>
      </c>
      <c r="I19" s="36"/>
      <c r="J19" s="15"/>
      <c r="K19" s="15"/>
      <c r="L19" s="15"/>
      <c r="M19" s="16"/>
      <c r="N19" s="1"/>
      <c r="O19" s="1"/>
      <c r="P19" s="1"/>
    </row>
    <row r="20" spans="1:16" x14ac:dyDescent="0.25">
      <c r="A20" s="13" t="s">
        <v>283</v>
      </c>
      <c r="B20" s="13" t="s">
        <v>284</v>
      </c>
      <c r="C20" s="14" t="s">
        <v>1458</v>
      </c>
      <c r="D20" s="14" t="s">
        <v>1465</v>
      </c>
      <c r="E20" s="13" t="s">
        <v>285</v>
      </c>
      <c r="F20" s="13" t="s">
        <v>47</v>
      </c>
      <c r="G20" s="21">
        <v>42430</v>
      </c>
      <c r="H20" s="14" t="s">
        <v>1468</v>
      </c>
      <c r="I20" s="36"/>
      <c r="J20" s="15"/>
      <c r="K20" s="15"/>
      <c r="L20" s="15"/>
      <c r="M20" s="16"/>
      <c r="N20" s="1"/>
      <c r="O20" s="1"/>
      <c r="P20" s="1"/>
    </row>
    <row r="21" spans="1:16" x14ac:dyDescent="0.25">
      <c r="A21" s="13" t="s">
        <v>476</v>
      </c>
      <c r="B21" s="13" t="s">
        <v>477</v>
      </c>
      <c r="C21" s="14" t="s">
        <v>1458</v>
      </c>
      <c r="D21" s="14" t="s">
        <v>1465</v>
      </c>
      <c r="E21" s="13" t="s">
        <v>478</v>
      </c>
      <c r="F21" s="13" t="s">
        <v>12</v>
      </c>
      <c r="G21" s="21">
        <v>42576</v>
      </c>
      <c r="H21" s="14" t="s">
        <v>284</v>
      </c>
      <c r="I21" s="36"/>
      <c r="J21" s="15"/>
      <c r="K21" s="15"/>
      <c r="L21" s="15"/>
      <c r="M21" s="16"/>
      <c r="N21" s="1"/>
      <c r="O21" s="1"/>
      <c r="P21" s="1"/>
    </row>
    <row r="22" spans="1:16" x14ac:dyDescent="0.25">
      <c r="A22" s="13" t="s">
        <v>536</v>
      </c>
      <c r="B22" s="13" t="s">
        <v>537</v>
      </c>
      <c r="C22" s="14" t="s">
        <v>1458</v>
      </c>
      <c r="D22" s="14" t="s">
        <v>1465</v>
      </c>
      <c r="E22" s="13" t="s">
        <v>478</v>
      </c>
      <c r="F22" s="13" t="s">
        <v>55</v>
      </c>
      <c r="G22" s="21">
        <v>42631</v>
      </c>
      <c r="H22" s="14" t="s">
        <v>284</v>
      </c>
      <c r="I22" s="36"/>
      <c r="J22" s="15"/>
      <c r="K22" s="15"/>
      <c r="L22" s="15"/>
      <c r="M22" s="16"/>
      <c r="N22" s="1"/>
      <c r="O22" s="1"/>
      <c r="P22" s="1"/>
    </row>
    <row r="23" spans="1:16" x14ac:dyDescent="0.25">
      <c r="A23" s="13" t="s">
        <v>594</v>
      </c>
      <c r="B23" s="13" t="s">
        <v>595</v>
      </c>
      <c r="C23" s="14" t="s">
        <v>1458</v>
      </c>
      <c r="D23" s="14" t="s">
        <v>1465</v>
      </c>
      <c r="E23" s="13" t="s">
        <v>482</v>
      </c>
      <c r="F23" s="13" t="s">
        <v>157</v>
      </c>
      <c r="G23" s="21">
        <v>42686</v>
      </c>
      <c r="H23" s="14" t="s">
        <v>284</v>
      </c>
      <c r="I23" s="36"/>
      <c r="J23" s="15"/>
      <c r="K23" s="15"/>
      <c r="L23" s="15"/>
      <c r="M23" s="16"/>
      <c r="N23" s="1"/>
      <c r="O23" s="1"/>
      <c r="P23" s="1"/>
    </row>
    <row r="24" spans="1:16" x14ac:dyDescent="0.25">
      <c r="A24" s="13" t="s">
        <v>1261</v>
      </c>
      <c r="B24" s="13" t="s">
        <v>1262</v>
      </c>
      <c r="C24" s="14" t="s">
        <v>1458</v>
      </c>
      <c r="D24" s="14" t="s">
        <v>1465</v>
      </c>
      <c r="E24" s="13" t="s">
        <v>1263</v>
      </c>
      <c r="F24" s="13" t="s">
        <v>93</v>
      </c>
      <c r="G24" s="21">
        <v>43395</v>
      </c>
      <c r="H24" s="14" t="s">
        <v>284</v>
      </c>
      <c r="I24" s="36"/>
      <c r="J24" s="15"/>
      <c r="K24" s="15"/>
      <c r="L24" s="15"/>
      <c r="M24" s="16"/>
      <c r="N24" s="1"/>
      <c r="O24" s="1"/>
      <c r="P24" s="1"/>
    </row>
    <row r="25" spans="1:16" x14ac:dyDescent="0.25">
      <c r="A25" s="13" t="s">
        <v>1350</v>
      </c>
      <c r="B25" s="13" t="s">
        <v>1351</v>
      </c>
      <c r="C25" s="14" t="s">
        <v>1458</v>
      </c>
      <c r="D25" s="14" t="s">
        <v>1465</v>
      </c>
      <c r="E25" s="13" t="s">
        <v>1352</v>
      </c>
      <c r="F25" s="13" t="s">
        <v>157</v>
      </c>
      <c r="G25" s="21">
        <v>43446</v>
      </c>
      <c r="H25" s="14" t="s">
        <v>284</v>
      </c>
      <c r="I25" s="36"/>
      <c r="J25" s="15"/>
      <c r="K25" s="15"/>
      <c r="L25" s="15"/>
      <c r="M25" s="16"/>
      <c r="N25" s="1"/>
      <c r="O25" s="1"/>
      <c r="P25" s="1"/>
    </row>
    <row r="26" spans="1:16" x14ac:dyDescent="0.25">
      <c r="A26" s="13" t="s">
        <v>1376</v>
      </c>
      <c r="B26" s="13" t="s">
        <v>1377</v>
      </c>
      <c r="C26" s="14" t="s">
        <v>1458</v>
      </c>
      <c r="D26" s="14" t="s">
        <v>1465</v>
      </c>
      <c r="E26" s="13" t="s">
        <v>993</v>
      </c>
      <c r="F26" s="13" t="s">
        <v>93</v>
      </c>
      <c r="G26" s="21">
        <v>43458</v>
      </c>
      <c r="H26" s="14" t="s">
        <v>284</v>
      </c>
      <c r="I26" s="36"/>
      <c r="J26" s="15"/>
      <c r="K26" s="15"/>
      <c r="L26" s="15"/>
      <c r="M26" s="16"/>
      <c r="N26" s="1"/>
      <c r="O26" s="1"/>
      <c r="P26" s="1"/>
    </row>
    <row r="27" spans="1:16" x14ac:dyDescent="0.25">
      <c r="A27" s="13" t="s">
        <v>1378</v>
      </c>
      <c r="B27" s="13" t="s">
        <v>1379</v>
      </c>
      <c r="C27" s="14" t="s">
        <v>1458</v>
      </c>
      <c r="D27" s="14" t="s">
        <v>1465</v>
      </c>
      <c r="E27" s="13" t="s">
        <v>1380</v>
      </c>
      <c r="F27" s="13" t="s">
        <v>12</v>
      </c>
      <c r="G27" s="21">
        <v>43461</v>
      </c>
      <c r="H27" s="14" t="s">
        <v>284</v>
      </c>
      <c r="I27" s="36"/>
      <c r="J27" s="15"/>
      <c r="K27" s="15"/>
      <c r="L27" s="15"/>
      <c r="M27" s="16"/>
      <c r="N27" s="1"/>
      <c r="O27" s="1"/>
      <c r="P27" s="1"/>
    </row>
    <row r="28" spans="1:16" x14ac:dyDescent="0.25">
      <c r="A28" s="13" t="s">
        <v>1470</v>
      </c>
      <c r="B28" s="13" t="s">
        <v>1321</v>
      </c>
      <c r="C28" s="14" t="s">
        <v>1458</v>
      </c>
      <c r="D28" s="14" t="s">
        <v>1465</v>
      </c>
      <c r="E28" s="13" t="s">
        <v>1352</v>
      </c>
      <c r="F28" s="13" t="s">
        <v>157</v>
      </c>
      <c r="G28" s="21">
        <v>43475</v>
      </c>
      <c r="H28" s="14" t="s">
        <v>1379</v>
      </c>
      <c r="I28" s="36"/>
      <c r="J28" s="15"/>
      <c r="K28" s="15"/>
      <c r="L28" s="15"/>
      <c r="M28" s="16"/>
      <c r="N28" s="1"/>
      <c r="O28" s="1"/>
      <c r="P28" s="1"/>
    </row>
    <row r="29" spans="1:16" x14ac:dyDescent="0.25">
      <c r="A29" s="13" t="s">
        <v>1471</v>
      </c>
      <c r="B29" s="13" t="s">
        <v>1472</v>
      </c>
      <c r="C29" s="14" t="s">
        <v>1458</v>
      </c>
      <c r="D29" s="14" t="s">
        <v>1465</v>
      </c>
      <c r="E29" s="13" t="s">
        <v>1352</v>
      </c>
      <c r="F29" s="13" t="s">
        <v>157</v>
      </c>
      <c r="G29" s="21">
        <v>43486</v>
      </c>
      <c r="H29" s="14" t="s">
        <v>284</v>
      </c>
      <c r="I29" s="36"/>
      <c r="J29" s="15"/>
      <c r="K29" s="15"/>
      <c r="L29" s="15"/>
      <c r="M29" s="16"/>
      <c r="N29" s="1"/>
      <c r="O29" s="1"/>
      <c r="P29" s="1"/>
    </row>
    <row r="30" spans="1:16" x14ac:dyDescent="0.25">
      <c r="A30" s="13" t="s">
        <v>1473</v>
      </c>
      <c r="B30" s="13" t="s">
        <v>1474</v>
      </c>
      <c r="C30" s="14" t="s">
        <v>1458</v>
      </c>
      <c r="D30" s="14" t="s">
        <v>1465</v>
      </c>
      <c r="E30" s="13" t="s">
        <v>1352</v>
      </c>
      <c r="F30" s="13" t="s">
        <v>157</v>
      </c>
      <c r="G30" s="21">
        <v>43488</v>
      </c>
      <c r="H30" s="14" t="s">
        <v>284</v>
      </c>
      <c r="I30" s="36"/>
      <c r="J30" s="15"/>
      <c r="K30" s="15"/>
      <c r="L30" s="15"/>
      <c r="M30" s="16"/>
      <c r="N30" s="1"/>
      <c r="O30" s="1"/>
      <c r="P30" s="1"/>
    </row>
    <row r="31" spans="1:16" x14ac:dyDescent="0.25">
      <c r="A31" s="13" t="s">
        <v>1475</v>
      </c>
      <c r="B31" s="13" t="s">
        <v>1476</v>
      </c>
      <c r="C31" s="14" t="s">
        <v>1458</v>
      </c>
      <c r="D31" s="14" t="s">
        <v>1465</v>
      </c>
      <c r="E31" s="13" t="s">
        <v>1380</v>
      </c>
      <c r="F31" s="13" t="s">
        <v>12</v>
      </c>
      <c r="G31" s="21">
        <v>43508</v>
      </c>
      <c r="H31" s="14" t="s">
        <v>284</v>
      </c>
      <c r="I31" s="36"/>
      <c r="J31" s="15"/>
      <c r="K31" s="15"/>
      <c r="L31" s="15"/>
      <c r="M31" s="16"/>
      <c r="N31" s="1"/>
      <c r="O31" s="1"/>
      <c r="P31" s="1"/>
    </row>
    <row r="32" spans="1:16" x14ac:dyDescent="0.25">
      <c r="A32" s="13" t="s">
        <v>116</v>
      </c>
      <c r="B32" s="13" t="s">
        <v>117</v>
      </c>
      <c r="C32" s="14" t="s">
        <v>1458</v>
      </c>
      <c r="D32" s="14" t="s">
        <v>1465</v>
      </c>
      <c r="E32" s="13" t="s">
        <v>118</v>
      </c>
      <c r="F32" s="13" t="s">
        <v>119</v>
      </c>
      <c r="G32" s="21">
        <v>42037</v>
      </c>
      <c r="H32" s="14" t="s">
        <v>62</v>
      </c>
      <c r="I32" s="36"/>
      <c r="J32" s="15"/>
      <c r="K32" s="15"/>
      <c r="L32" s="15"/>
      <c r="M32" s="16"/>
      <c r="N32" s="1"/>
      <c r="O32" s="1"/>
      <c r="P32" s="1"/>
    </row>
    <row r="33" spans="1:16" x14ac:dyDescent="0.25">
      <c r="A33" s="13" t="s">
        <v>1477</v>
      </c>
      <c r="B33" s="13" t="s">
        <v>1478</v>
      </c>
      <c r="C33" s="14" t="s">
        <v>1458</v>
      </c>
      <c r="D33" s="14" t="s">
        <v>1465</v>
      </c>
      <c r="E33" s="13" t="s">
        <v>1479</v>
      </c>
      <c r="F33" s="13" t="s">
        <v>12</v>
      </c>
      <c r="G33" s="21">
        <v>43515</v>
      </c>
      <c r="H33" s="14" t="s">
        <v>117</v>
      </c>
      <c r="I33" s="36"/>
      <c r="J33" s="15"/>
      <c r="K33" s="15"/>
      <c r="L33" s="15"/>
      <c r="M33" s="16"/>
      <c r="N33" s="1"/>
      <c r="O33" s="1"/>
      <c r="P33" s="1"/>
    </row>
    <row r="34" spans="1:16" x14ac:dyDescent="0.25">
      <c r="A34" s="13" t="s">
        <v>145</v>
      </c>
      <c r="B34" s="13" t="s">
        <v>146</v>
      </c>
      <c r="C34" s="14" t="s">
        <v>1458</v>
      </c>
      <c r="D34" s="14" t="s">
        <v>1465</v>
      </c>
      <c r="E34" s="13" t="s">
        <v>147</v>
      </c>
      <c r="F34" s="13" t="s">
        <v>24</v>
      </c>
      <c r="G34" s="21">
        <v>42135</v>
      </c>
      <c r="H34" s="14" t="s">
        <v>117</v>
      </c>
      <c r="I34" s="36"/>
      <c r="J34" s="15"/>
      <c r="K34" s="15"/>
      <c r="L34" s="15"/>
      <c r="M34" s="16"/>
      <c r="N34" s="1"/>
      <c r="O34" s="1"/>
      <c r="P34" s="1"/>
    </row>
    <row r="35" spans="1:16" x14ac:dyDescent="0.25">
      <c r="A35" s="13" t="s">
        <v>894</v>
      </c>
      <c r="B35" s="13" t="s">
        <v>895</v>
      </c>
      <c r="C35" s="14" t="s">
        <v>1458</v>
      </c>
      <c r="D35" s="14" t="s">
        <v>1465</v>
      </c>
      <c r="E35" s="13" t="s">
        <v>1480</v>
      </c>
      <c r="F35" s="13" t="s">
        <v>60</v>
      </c>
      <c r="G35" s="21">
        <v>43178</v>
      </c>
      <c r="H35" s="14" t="s">
        <v>117</v>
      </c>
      <c r="I35" s="36"/>
      <c r="J35" s="15"/>
      <c r="K35" s="15"/>
      <c r="L35" s="15"/>
      <c r="M35" s="16"/>
      <c r="N35" s="1"/>
      <c r="O35" s="1"/>
      <c r="P35" s="1"/>
    </row>
    <row r="36" spans="1:16" x14ac:dyDescent="0.25">
      <c r="A36" s="13" t="s">
        <v>1079</v>
      </c>
      <c r="B36" s="13" t="s">
        <v>1080</v>
      </c>
      <c r="C36" s="14" t="s">
        <v>1458</v>
      </c>
      <c r="D36" s="14" t="s">
        <v>1465</v>
      </c>
      <c r="E36" s="13" t="s">
        <v>1481</v>
      </c>
      <c r="F36" s="13" t="s">
        <v>56</v>
      </c>
      <c r="G36" s="21">
        <v>43271</v>
      </c>
      <c r="H36" s="14" t="s">
        <v>117</v>
      </c>
      <c r="I36" s="36"/>
      <c r="J36" s="15"/>
      <c r="K36" s="15"/>
      <c r="L36" s="15"/>
      <c r="M36" s="16"/>
      <c r="N36" s="1"/>
      <c r="O36" s="1"/>
      <c r="P36" s="1"/>
    </row>
    <row r="37" spans="1:16" x14ac:dyDescent="0.25">
      <c r="A37" s="13" t="s">
        <v>66</v>
      </c>
      <c r="B37" s="13" t="s">
        <v>67</v>
      </c>
      <c r="C37" s="14" t="s">
        <v>1458</v>
      </c>
      <c r="D37" s="14" t="s">
        <v>1482</v>
      </c>
      <c r="E37" s="13" t="s">
        <v>41</v>
      </c>
      <c r="F37" s="13" t="s">
        <v>24</v>
      </c>
      <c r="G37" s="21">
        <v>41708</v>
      </c>
      <c r="H37" s="14" t="s">
        <v>62</v>
      </c>
      <c r="I37" s="36"/>
      <c r="J37" s="15"/>
      <c r="K37" s="15"/>
      <c r="L37" s="15"/>
      <c r="M37" s="16"/>
      <c r="N37" s="1"/>
      <c r="O37" s="1"/>
      <c r="P37" s="1"/>
    </row>
    <row r="38" spans="1:16" x14ac:dyDescent="0.25">
      <c r="A38" s="13" t="s">
        <v>90</v>
      </c>
      <c r="B38" s="13" t="s">
        <v>91</v>
      </c>
      <c r="C38" s="14" t="s">
        <v>1458</v>
      </c>
      <c r="D38" s="14" t="s">
        <v>1482</v>
      </c>
      <c r="E38" s="13" t="s">
        <v>92</v>
      </c>
      <c r="F38" s="13" t="s">
        <v>93</v>
      </c>
      <c r="G38" s="21">
        <v>41883</v>
      </c>
      <c r="H38" s="14" t="s">
        <v>67</v>
      </c>
      <c r="I38" s="36"/>
      <c r="J38" s="15"/>
      <c r="K38" s="15"/>
      <c r="L38" s="15"/>
      <c r="M38" s="16"/>
      <c r="N38" s="1"/>
      <c r="O38" s="1"/>
      <c r="P38" s="1"/>
    </row>
    <row r="39" spans="1:16" x14ac:dyDescent="0.25">
      <c r="A39" s="13" t="s">
        <v>113</v>
      </c>
      <c r="B39" s="13" t="s">
        <v>114</v>
      </c>
      <c r="C39" s="14" t="s">
        <v>1458</v>
      </c>
      <c r="D39" s="14" t="s">
        <v>1482</v>
      </c>
      <c r="E39" s="13" t="s">
        <v>132</v>
      </c>
      <c r="F39" s="13" t="s">
        <v>93</v>
      </c>
      <c r="G39" s="21">
        <v>41961</v>
      </c>
      <c r="H39" s="14" t="s">
        <v>91</v>
      </c>
      <c r="I39" s="36"/>
      <c r="J39" s="15"/>
      <c r="K39" s="15"/>
      <c r="L39" s="15"/>
      <c r="M39" s="16"/>
      <c r="N39" s="1"/>
      <c r="O39" s="1"/>
      <c r="P39" s="1"/>
    </row>
    <row r="40" spans="1:16" x14ac:dyDescent="0.25">
      <c r="A40" s="13" t="s">
        <v>181</v>
      </c>
      <c r="B40" s="13" t="s">
        <v>182</v>
      </c>
      <c r="C40" s="14" t="s">
        <v>1458</v>
      </c>
      <c r="D40" s="14" t="s">
        <v>1482</v>
      </c>
      <c r="E40" s="13" t="s">
        <v>115</v>
      </c>
      <c r="F40" s="13" t="s">
        <v>93</v>
      </c>
      <c r="G40" s="21">
        <v>42240</v>
      </c>
      <c r="H40" s="14" t="s">
        <v>91</v>
      </c>
      <c r="I40" s="36"/>
      <c r="J40" s="15"/>
      <c r="K40" s="15"/>
      <c r="L40" s="15"/>
      <c r="M40" s="16"/>
      <c r="N40" s="1"/>
      <c r="O40" s="1"/>
      <c r="P40" s="1"/>
    </row>
    <row r="41" spans="1:16" x14ac:dyDescent="0.25">
      <c r="A41" s="13" t="s">
        <v>192</v>
      </c>
      <c r="B41" s="13" t="s">
        <v>193</v>
      </c>
      <c r="C41" s="14" t="s">
        <v>1458</v>
      </c>
      <c r="D41" s="14" t="s">
        <v>1482</v>
      </c>
      <c r="E41" s="13" t="s">
        <v>115</v>
      </c>
      <c r="F41" s="13" t="s">
        <v>93</v>
      </c>
      <c r="G41" s="21">
        <v>42261</v>
      </c>
      <c r="H41" s="14" t="s">
        <v>91</v>
      </c>
      <c r="I41" s="36"/>
      <c r="J41" s="15"/>
      <c r="K41" s="15"/>
      <c r="L41" s="15"/>
      <c r="M41" s="16"/>
      <c r="N41" s="1"/>
      <c r="O41" s="1"/>
      <c r="P41" s="1"/>
    </row>
    <row r="42" spans="1:16" x14ac:dyDescent="0.25">
      <c r="A42" s="13" t="s">
        <v>245</v>
      </c>
      <c r="B42" s="13" t="s">
        <v>246</v>
      </c>
      <c r="C42" s="14" t="s">
        <v>1458</v>
      </c>
      <c r="D42" s="14" t="s">
        <v>1482</v>
      </c>
      <c r="E42" s="13" t="s">
        <v>115</v>
      </c>
      <c r="F42" s="13" t="s">
        <v>93</v>
      </c>
      <c r="G42" s="21">
        <v>42339</v>
      </c>
      <c r="H42" s="14" t="s">
        <v>91</v>
      </c>
      <c r="I42" s="36"/>
      <c r="J42" s="15"/>
      <c r="K42" s="15"/>
      <c r="L42" s="15"/>
      <c r="M42" s="16"/>
      <c r="N42" s="1"/>
      <c r="O42" s="1"/>
      <c r="P42" s="1"/>
    </row>
    <row r="43" spans="1:16" x14ac:dyDescent="0.25">
      <c r="A43" s="13" t="s">
        <v>372</v>
      </c>
      <c r="B43" s="13" t="s">
        <v>373</v>
      </c>
      <c r="C43" s="14" t="s">
        <v>1458</v>
      </c>
      <c r="D43" s="14" t="s">
        <v>1482</v>
      </c>
      <c r="E43" s="13" t="s">
        <v>115</v>
      </c>
      <c r="F43" s="13" t="s">
        <v>93</v>
      </c>
      <c r="G43" s="21">
        <v>42506</v>
      </c>
      <c r="H43" s="14" t="s">
        <v>91</v>
      </c>
      <c r="I43" s="36"/>
      <c r="J43" s="15"/>
      <c r="K43" s="15"/>
      <c r="L43" s="15"/>
      <c r="M43" s="16"/>
      <c r="N43" s="1"/>
      <c r="O43" s="1"/>
      <c r="P43" s="1"/>
    </row>
    <row r="44" spans="1:16" x14ac:dyDescent="0.25">
      <c r="A44" s="13" t="s">
        <v>493</v>
      </c>
      <c r="B44" s="13" t="s">
        <v>494</v>
      </c>
      <c r="C44" s="14" t="s">
        <v>1458</v>
      </c>
      <c r="D44" s="14" t="s">
        <v>1482</v>
      </c>
      <c r="E44" s="13" t="s">
        <v>132</v>
      </c>
      <c r="F44" s="13" t="s">
        <v>93</v>
      </c>
      <c r="G44" s="21">
        <v>42597</v>
      </c>
      <c r="H44" s="14" t="s">
        <v>67</v>
      </c>
      <c r="I44" s="36"/>
      <c r="J44" s="15"/>
      <c r="K44" s="15"/>
      <c r="L44" s="15"/>
      <c r="M44" s="16"/>
      <c r="N44" s="1"/>
      <c r="O44" s="1"/>
      <c r="P44" s="1"/>
    </row>
    <row r="45" spans="1:16" x14ac:dyDescent="0.25">
      <c r="A45" s="13" t="s">
        <v>711</v>
      </c>
      <c r="B45" s="13" t="s">
        <v>712</v>
      </c>
      <c r="C45" s="14" t="s">
        <v>1458</v>
      </c>
      <c r="D45" s="14" t="s">
        <v>1482</v>
      </c>
      <c r="E45" s="13" t="s">
        <v>115</v>
      </c>
      <c r="F45" s="13" t="s">
        <v>93</v>
      </c>
      <c r="G45" s="21">
        <v>42837</v>
      </c>
      <c r="H45" s="14" t="s">
        <v>67</v>
      </c>
      <c r="I45" s="36"/>
      <c r="J45" s="15"/>
      <c r="K45" s="15"/>
      <c r="L45" s="15"/>
      <c r="M45" s="16"/>
      <c r="N45" s="1"/>
      <c r="O45" s="1"/>
      <c r="P45" s="1"/>
    </row>
    <row r="46" spans="1:16" x14ac:dyDescent="0.25">
      <c r="A46" s="13" t="s">
        <v>790</v>
      </c>
      <c r="B46" s="13" t="s">
        <v>791</v>
      </c>
      <c r="C46" s="14" t="s">
        <v>1458</v>
      </c>
      <c r="D46" s="14" t="s">
        <v>1482</v>
      </c>
      <c r="E46" s="13" t="s">
        <v>792</v>
      </c>
      <c r="F46" s="13" t="s">
        <v>125</v>
      </c>
      <c r="G46" s="21">
        <v>42975</v>
      </c>
      <c r="H46" s="14" t="s">
        <v>67</v>
      </c>
      <c r="I46" s="36"/>
      <c r="J46" s="15"/>
      <c r="K46" s="15"/>
      <c r="L46" s="15"/>
      <c r="M46" s="16"/>
      <c r="N46" s="1"/>
      <c r="O46" s="1"/>
      <c r="P46" s="1"/>
    </row>
    <row r="47" spans="1:16" x14ac:dyDescent="0.25">
      <c r="A47" s="13" t="s">
        <v>959</v>
      </c>
      <c r="B47" s="13" t="s">
        <v>960</v>
      </c>
      <c r="C47" s="14" t="s">
        <v>1458</v>
      </c>
      <c r="D47" s="14" t="s">
        <v>1482</v>
      </c>
      <c r="E47" s="13" t="s">
        <v>320</v>
      </c>
      <c r="F47" s="13" t="s">
        <v>93</v>
      </c>
      <c r="G47" s="21">
        <v>43222</v>
      </c>
      <c r="H47" s="14" t="s">
        <v>91</v>
      </c>
      <c r="I47" s="36"/>
      <c r="J47" s="15"/>
      <c r="K47" s="15"/>
      <c r="L47" s="15"/>
      <c r="M47" s="16"/>
      <c r="N47" s="1"/>
      <c r="O47" s="1"/>
      <c r="P47" s="1"/>
    </row>
    <row r="48" spans="1:16" x14ac:dyDescent="0.25">
      <c r="A48" s="13" t="s">
        <v>130</v>
      </c>
      <c r="B48" s="13" t="s">
        <v>131</v>
      </c>
      <c r="C48" s="14" t="s">
        <v>1458</v>
      </c>
      <c r="D48" s="14" t="s">
        <v>1482</v>
      </c>
      <c r="E48" s="13" t="s">
        <v>132</v>
      </c>
      <c r="F48" s="13" t="s">
        <v>80</v>
      </c>
      <c r="G48" s="21">
        <v>42065</v>
      </c>
      <c r="H48" s="14" t="s">
        <v>67</v>
      </c>
      <c r="I48" s="36"/>
      <c r="J48" s="15"/>
      <c r="K48" s="15"/>
      <c r="L48" s="15"/>
      <c r="M48" s="16"/>
      <c r="N48" s="1"/>
      <c r="O48" s="1"/>
      <c r="P48" s="1"/>
    </row>
    <row r="49" spans="1:16" x14ac:dyDescent="0.25">
      <c r="A49" s="13" t="s">
        <v>271</v>
      </c>
      <c r="B49" s="13" t="s">
        <v>272</v>
      </c>
      <c r="C49" s="14" t="s">
        <v>1458</v>
      </c>
      <c r="D49" s="14" t="s">
        <v>1482</v>
      </c>
      <c r="E49" s="13" t="s">
        <v>132</v>
      </c>
      <c r="F49" s="13" t="s">
        <v>93</v>
      </c>
      <c r="G49" s="21">
        <v>42401</v>
      </c>
      <c r="H49" s="14" t="s">
        <v>67</v>
      </c>
      <c r="I49" s="36"/>
      <c r="J49" s="15"/>
      <c r="K49" s="15"/>
      <c r="L49" s="15"/>
      <c r="M49" s="16"/>
      <c r="N49" s="1"/>
      <c r="O49" s="1"/>
      <c r="P49" s="1"/>
    </row>
    <row r="50" spans="1:16" x14ac:dyDescent="0.25">
      <c r="A50" s="13" t="s">
        <v>273</v>
      </c>
      <c r="B50" s="13" t="s">
        <v>274</v>
      </c>
      <c r="C50" s="14" t="s">
        <v>1458</v>
      </c>
      <c r="D50" s="14" t="s">
        <v>1482</v>
      </c>
      <c r="E50" s="13" t="s">
        <v>132</v>
      </c>
      <c r="F50" s="13" t="s">
        <v>93</v>
      </c>
      <c r="G50" s="21">
        <v>42401</v>
      </c>
      <c r="H50" s="14" t="s">
        <v>67</v>
      </c>
      <c r="I50" s="36"/>
      <c r="J50" s="15"/>
      <c r="K50" s="15"/>
      <c r="L50" s="15"/>
      <c r="M50" s="16"/>
      <c r="N50" s="1"/>
      <c r="O50" s="1"/>
      <c r="P50" s="1"/>
    </row>
    <row r="51" spans="1:16" x14ac:dyDescent="0.25">
      <c r="A51" s="13" t="s">
        <v>656</v>
      </c>
      <c r="B51" s="13" t="s">
        <v>657</v>
      </c>
      <c r="C51" s="14" t="s">
        <v>1458</v>
      </c>
      <c r="D51" s="14" t="s">
        <v>1482</v>
      </c>
      <c r="E51" s="13" t="s">
        <v>203</v>
      </c>
      <c r="F51" s="13" t="s">
        <v>93</v>
      </c>
      <c r="G51" s="21">
        <v>42751</v>
      </c>
      <c r="H51" s="14" t="s">
        <v>67</v>
      </c>
      <c r="I51" s="36"/>
      <c r="J51" s="15"/>
      <c r="K51" s="15"/>
      <c r="L51" s="15"/>
      <c r="M51" s="16"/>
      <c r="N51" s="1"/>
      <c r="O51" s="1"/>
      <c r="P51" s="1"/>
    </row>
    <row r="52" spans="1:16" x14ac:dyDescent="0.25">
      <c r="A52" s="13" t="s">
        <v>706</v>
      </c>
      <c r="B52" s="13" t="s">
        <v>21</v>
      </c>
      <c r="C52" s="14" t="s">
        <v>1458</v>
      </c>
      <c r="D52" s="14" t="s">
        <v>1482</v>
      </c>
      <c r="E52" s="13" t="s">
        <v>112</v>
      </c>
      <c r="F52" s="13" t="s">
        <v>55</v>
      </c>
      <c r="G52" s="21">
        <v>42835</v>
      </c>
      <c r="H52" s="14" t="s">
        <v>67</v>
      </c>
      <c r="I52" s="36"/>
      <c r="J52" s="15"/>
      <c r="K52" s="15"/>
      <c r="L52" s="15"/>
      <c r="M52" s="16"/>
      <c r="N52" s="1"/>
      <c r="O52" s="1"/>
      <c r="P52" s="1"/>
    </row>
    <row r="53" spans="1:16" x14ac:dyDescent="0.25">
      <c r="A53" s="13" t="s">
        <v>930</v>
      </c>
      <c r="B53" s="13" t="s">
        <v>931</v>
      </c>
      <c r="C53" s="14" t="s">
        <v>1458</v>
      </c>
      <c r="D53" s="14" t="s">
        <v>1482</v>
      </c>
      <c r="E53" s="13" t="s">
        <v>203</v>
      </c>
      <c r="F53" s="13" t="s">
        <v>1483</v>
      </c>
      <c r="G53" s="21">
        <v>43206</v>
      </c>
      <c r="H53" s="14" t="s">
        <v>67</v>
      </c>
      <c r="I53" s="36"/>
      <c r="J53" s="15"/>
      <c r="K53" s="15"/>
      <c r="L53" s="15"/>
      <c r="M53" s="16"/>
      <c r="N53" s="1"/>
      <c r="O53" s="1"/>
      <c r="P53" s="1"/>
    </row>
    <row r="54" spans="1:16" x14ac:dyDescent="0.25">
      <c r="A54" s="13" t="s">
        <v>829</v>
      </c>
      <c r="B54" s="13" t="s">
        <v>219</v>
      </c>
      <c r="C54" s="14" t="s">
        <v>1458</v>
      </c>
      <c r="D54" s="14" t="s">
        <v>212</v>
      </c>
      <c r="E54" s="13" t="s">
        <v>830</v>
      </c>
      <c r="F54" s="13" t="s">
        <v>19</v>
      </c>
      <c r="G54" s="21">
        <v>43024</v>
      </c>
      <c r="H54" s="14" t="s">
        <v>62</v>
      </c>
      <c r="I54" s="36"/>
      <c r="J54" s="15"/>
      <c r="K54" s="15"/>
      <c r="L54" s="15"/>
      <c r="M54" s="16"/>
      <c r="N54" s="1"/>
      <c r="O54" s="1"/>
      <c r="P54" s="1"/>
    </row>
    <row r="55" spans="1:16" x14ac:dyDescent="0.25">
      <c r="A55" s="13" t="s">
        <v>541</v>
      </c>
      <c r="B55" s="13" t="s">
        <v>542</v>
      </c>
      <c r="C55" s="14" t="s">
        <v>1458</v>
      </c>
      <c r="D55" s="14" t="s">
        <v>212</v>
      </c>
      <c r="E55" s="13" t="s">
        <v>543</v>
      </c>
      <c r="F55" s="13" t="s">
        <v>153</v>
      </c>
      <c r="G55" s="21">
        <v>42632</v>
      </c>
      <c r="H55" s="14" t="s">
        <v>290</v>
      </c>
      <c r="I55" s="36"/>
      <c r="J55" s="15"/>
      <c r="K55" s="15"/>
      <c r="L55" s="15"/>
      <c r="M55" s="16"/>
      <c r="N55" s="1"/>
      <c r="O55" s="1"/>
      <c r="P55" s="1"/>
    </row>
    <row r="56" spans="1:16" x14ac:dyDescent="0.25">
      <c r="A56" s="13" t="s">
        <v>585</v>
      </c>
      <c r="B56" s="13" t="s">
        <v>586</v>
      </c>
      <c r="C56" s="14" t="s">
        <v>1458</v>
      </c>
      <c r="D56" s="14" t="s">
        <v>212</v>
      </c>
      <c r="E56" s="13" t="s">
        <v>291</v>
      </c>
      <c r="F56" s="13" t="s">
        <v>157</v>
      </c>
      <c r="G56" s="21">
        <v>42681</v>
      </c>
      <c r="H56" s="14" t="s">
        <v>229</v>
      </c>
      <c r="I56" s="36"/>
      <c r="J56" s="15"/>
      <c r="K56" s="15"/>
      <c r="L56" s="15"/>
      <c r="M56" s="16"/>
      <c r="N56" s="1"/>
      <c r="O56" s="1"/>
      <c r="P56" s="1"/>
    </row>
    <row r="57" spans="1:16" x14ac:dyDescent="0.25">
      <c r="A57" s="13" t="s">
        <v>697</v>
      </c>
      <c r="B57" s="13" t="s">
        <v>698</v>
      </c>
      <c r="C57" s="14" t="s">
        <v>1458</v>
      </c>
      <c r="D57" s="14" t="s">
        <v>212</v>
      </c>
      <c r="E57" s="13" t="s">
        <v>228</v>
      </c>
      <c r="F57" s="13" t="s">
        <v>38</v>
      </c>
      <c r="G57" s="21">
        <v>42821</v>
      </c>
      <c r="H57" s="14" t="s">
        <v>229</v>
      </c>
      <c r="I57" s="36"/>
      <c r="J57" s="15"/>
      <c r="K57" s="15"/>
      <c r="L57" s="15"/>
      <c r="M57" s="16"/>
      <c r="N57" s="1"/>
      <c r="O57" s="1"/>
      <c r="P57" s="1"/>
    </row>
    <row r="58" spans="1:16" x14ac:dyDescent="0.25">
      <c r="A58" s="13" t="s">
        <v>1038</v>
      </c>
      <c r="B58" s="13" t="s">
        <v>1039</v>
      </c>
      <c r="C58" s="14" t="s">
        <v>1458</v>
      </c>
      <c r="D58" s="14" t="s">
        <v>212</v>
      </c>
      <c r="E58" s="13" t="s">
        <v>623</v>
      </c>
      <c r="F58" s="13" t="s">
        <v>93</v>
      </c>
      <c r="G58" s="21">
        <v>43255</v>
      </c>
      <c r="H58" s="14" t="s">
        <v>929</v>
      </c>
      <c r="I58" s="36"/>
      <c r="J58" s="15"/>
      <c r="K58" s="15"/>
      <c r="L58" s="15"/>
      <c r="M58" s="16"/>
      <c r="N58" s="1"/>
      <c r="O58" s="1"/>
      <c r="P58" s="1"/>
    </row>
    <row r="59" spans="1:16" x14ac:dyDescent="0.25">
      <c r="A59" s="13" t="s">
        <v>226</v>
      </c>
      <c r="B59" s="13" t="s">
        <v>227</v>
      </c>
      <c r="C59" s="14" t="s">
        <v>1458</v>
      </c>
      <c r="D59" s="14" t="s">
        <v>212</v>
      </c>
      <c r="E59" s="13" t="s">
        <v>228</v>
      </c>
      <c r="F59" s="13" t="s">
        <v>157</v>
      </c>
      <c r="G59" s="21">
        <v>42319</v>
      </c>
      <c r="H59" s="14" t="s">
        <v>229</v>
      </c>
      <c r="I59" s="36"/>
      <c r="J59" s="15"/>
      <c r="K59" s="15"/>
      <c r="L59" s="15"/>
      <c r="M59" s="16"/>
      <c r="N59" s="1"/>
      <c r="O59" s="1"/>
      <c r="P59" s="1"/>
    </row>
    <row r="60" spans="1:16" x14ac:dyDescent="0.25">
      <c r="A60" s="13" t="s">
        <v>230</v>
      </c>
      <c r="B60" s="13" t="s">
        <v>231</v>
      </c>
      <c r="C60" s="14" t="s">
        <v>1458</v>
      </c>
      <c r="D60" s="14" t="s">
        <v>212</v>
      </c>
      <c r="E60" s="13" t="s">
        <v>228</v>
      </c>
      <c r="F60" s="13" t="s">
        <v>38</v>
      </c>
      <c r="G60" s="21">
        <v>42319</v>
      </c>
      <c r="H60" s="14" t="s">
        <v>229</v>
      </c>
      <c r="I60" s="36"/>
      <c r="J60" s="15"/>
      <c r="K60" s="15"/>
      <c r="L60" s="15"/>
      <c r="M60" s="16"/>
      <c r="N60" s="1"/>
      <c r="O60" s="1"/>
      <c r="P60" s="1"/>
    </row>
    <row r="61" spans="1:16" x14ac:dyDescent="0.25">
      <c r="A61" s="13" t="s">
        <v>288</v>
      </c>
      <c r="B61" s="13" t="s">
        <v>229</v>
      </c>
      <c r="C61" s="14" t="s">
        <v>1458</v>
      </c>
      <c r="D61" s="14" t="s">
        <v>212</v>
      </c>
      <c r="E61" s="13" t="s">
        <v>289</v>
      </c>
      <c r="F61" s="13" t="s">
        <v>38</v>
      </c>
      <c r="G61" s="21">
        <v>42433</v>
      </c>
      <c r="H61" s="14" t="s">
        <v>290</v>
      </c>
      <c r="I61" s="36"/>
      <c r="J61" s="15"/>
      <c r="K61" s="15"/>
      <c r="L61" s="15"/>
      <c r="M61" s="16"/>
      <c r="N61" s="1"/>
      <c r="O61" s="1"/>
      <c r="P61" s="1"/>
    </row>
    <row r="62" spans="1:16" x14ac:dyDescent="0.25">
      <c r="A62" s="13" t="s">
        <v>316</v>
      </c>
      <c r="B62" s="13" t="s">
        <v>317</v>
      </c>
      <c r="C62" s="14" t="s">
        <v>1458</v>
      </c>
      <c r="D62" s="14" t="s">
        <v>212</v>
      </c>
      <c r="E62" s="13" t="s">
        <v>228</v>
      </c>
      <c r="F62" s="13" t="s">
        <v>157</v>
      </c>
      <c r="G62" s="21">
        <v>42461</v>
      </c>
      <c r="H62" s="14" t="s">
        <v>229</v>
      </c>
      <c r="I62" s="36"/>
      <c r="J62" s="15"/>
      <c r="K62" s="15"/>
      <c r="L62" s="15"/>
      <c r="M62" s="16"/>
      <c r="N62" s="1"/>
      <c r="O62" s="1"/>
      <c r="P62" s="1"/>
    </row>
    <row r="63" spans="1:16" x14ac:dyDescent="0.25">
      <c r="A63" s="13" t="s">
        <v>449</v>
      </c>
      <c r="B63" s="13" t="s">
        <v>450</v>
      </c>
      <c r="C63" s="14" t="s">
        <v>1458</v>
      </c>
      <c r="D63" s="14" t="s">
        <v>212</v>
      </c>
      <c r="E63" s="13" t="s">
        <v>228</v>
      </c>
      <c r="F63" s="13" t="s">
        <v>157</v>
      </c>
      <c r="G63" s="21">
        <v>42562</v>
      </c>
      <c r="H63" s="14" t="s">
        <v>229</v>
      </c>
      <c r="I63" s="36"/>
      <c r="J63" s="15"/>
      <c r="K63" s="15"/>
      <c r="L63" s="15"/>
      <c r="M63" s="16"/>
      <c r="N63" s="1"/>
      <c r="O63" s="1"/>
      <c r="P63" s="1"/>
    </row>
    <row r="64" spans="1:16" x14ac:dyDescent="0.25">
      <c r="A64" s="13" t="s">
        <v>581</v>
      </c>
      <c r="B64" s="13" t="s">
        <v>290</v>
      </c>
      <c r="C64" s="14" t="s">
        <v>1458</v>
      </c>
      <c r="D64" s="14" t="s">
        <v>212</v>
      </c>
      <c r="E64" s="13" t="s">
        <v>582</v>
      </c>
      <c r="F64" s="13" t="s">
        <v>153</v>
      </c>
      <c r="G64" s="21">
        <v>42676</v>
      </c>
      <c r="H64" s="14" t="s">
        <v>62</v>
      </c>
      <c r="I64" s="36"/>
      <c r="J64" s="15"/>
      <c r="K64" s="15"/>
      <c r="L64" s="15"/>
      <c r="M64" s="16"/>
      <c r="N64" s="1"/>
      <c r="O64" s="1"/>
      <c r="P64" s="1"/>
    </row>
    <row r="65" spans="1:16" x14ac:dyDescent="0.25">
      <c r="A65" s="13" t="s">
        <v>596</v>
      </c>
      <c r="B65" s="13" t="s">
        <v>597</v>
      </c>
      <c r="C65" s="14" t="s">
        <v>1458</v>
      </c>
      <c r="D65" s="14" t="s">
        <v>212</v>
      </c>
      <c r="E65" s="13" t="s">
        <v>598</v>
      </c>
      <c r="F65" s="13" t="s">
        <v>157</v>
      </c>
      <c r="G65" s="21">
        <v>42688</v>
      </c>
      <c r="H65" s="14" t="s">
        <v>290</v>
      </c>
      <c r="I65" s="36"/>
      <c r="J65" s="15"/>
      <c r="K65" s="15"/>
      <c r="L65" s="15"/>
      <c r="M65" s="16"/>
      <c r="N65" s="1"/>
      <c r="O65" s="1"/>
      <c r="P65" s="1"/>
    </row>
    <row r="66" spans="1:16" x14ac:dyDescent="0.25">
      <c r="A66" s="13" t="s">
        <v>599</v>
      </c>
      <c r="B66" s="13" t="s">
        <v>600</v>
      </c>
      <c r="C66" s="14" t="s">
        <v>1458</v>
      </c>
      <c r="D66" s="14" t="s">
        <v>212</v>
      </c>
      <c r="E66" s="13" t="s">
        <v>601</v>
      </c>
      <c r="F66" s="13" t="s">
        <v>157</v>
      </c>
      <c r="G66" s="21">
        <v>42688</v>
      </c>
      <c r="H66" s="14" t="s">
        <v>597</v>
      </c>
      <c r="I66" s="36"/>
      <c r="J66" s="15"/>
      <c r="K66" s="15"/>
      <c r="L66" s="15"/>
      <c r="M66" s="16"/>
      <c r="N66" s="1"/>
      <c r="O66" s="1"/>
      <c r="P66" s="1"/>
    </row>
    <row r="67" spans="1:16" x14ac:dyDescent="0.25">
      <c r="A67" s="13" t="s">
        <v>621</v>
      </c>
      <c r="B67" s="13" t="s">
        <v>622</v>
      </c>
      <c r="C67" s="14" t="s">
        <v>1458</v>
      </c>
      <c r="D67" s="14" t="s">
        <v>212</v>
      </c>
      <c r="E67" s="13" t="s">
        <v>623</v>
      </c>
      <c r="F67" s="13" t="s">
        <v>157</v>
      </c>
      <c r="G67" s="21">
        <v>42709</v>
      </c>
      <c r="H67" s="14" t="s">
        <v>597</v>
      </c>
      <c r="I67" s="36"/>
      <c r="J67" s="15"/>
      <c r="K67" s="15"/>
      <c r="L67" s="15"/>
      <c r="M67" s="16"/>
      <c r="N67" s="1"/>
      <c r="O67" s="1"/>
      <c r="P67" s="1"/>
    </row>
    <row r="68" spans="1:16" x14ac:dyDescent="0.25">
      <c r="A68" s="13" t="s">
        <v>757</v>
      </c>
      <c r="B68" s="13" t="s">
        <v>758</v>
      </c>
      <c r="C68" s="14" t="s">
        <v>1458</v>
      </c>
      <c r="D68" s="14" t="s">
        <v>212</v>
      </c>
      <c r="E68" s="13" t="s">
        <v>228</v>
      </c>
      <c r="F68" s="13" t="s">
        <v>157</v>
      </c>
      <c r="G68" s="21">
        <v>42919</v>
      </c>
      <c r="H68" s="14" t="s">
        <v>229</v>
      </c>
      <c r="I68" s="36"/>
      <c r="J68" s="15"/>
      <c r="K68" s="15"/>
      <c r="L68" s="15"/>
      <c r="M68" s="16"/>
      <c r="N68" s="1"/>
      <c r="O68" s="1"/>
      <c r="P68" s="1"/>
    </row>
    <row r="69" spans="1:16" x14ac:dyDescent="0.25">
      <c r="A69" s="13" t="s">
        <v>825</v>
      </c>
      <c r="B69" s="13" t="s">
        <v>826</v>
      </c>
      <c r="C69" s="14" t="s">
        <v>1458</v>
      </c>
      <c r="D69" s="14" t="s">
        <v>212</v>
      </c>
      <c r="E69" s="13" t="s">
        <v>228</v>
      </c>
      <c r="F69" s="13" t="s">
        <v>157</v>
      </c>
      <c r="G69" s="21">
        <v>43003</v>
      </c>
      <c r="H69" s="14" t="s">
        <v>229</v>
      </c>
      <c r="I69" s="36"/>
      <c r="J69" s="15"/>
      <c r="K69" s="15"/>
      <c r="L69" s="15"/>
      <c r="M69" s="16"/>
      <c r="N69" s="1"/>
      <c r="O69" s="1"/>
      <c r="P69" s="1"/>
    </row>
    <row r="70" spans="1:16" x14ac:dyDescent="0.25">
      <c r="A70" s="13" t="s">
        <v>928</v>
      </c>
      <c r="B70" s="13" t="s">
        <v>929</v>
      </c>
      <c r="C70" s="14" t="s">
        <v>1458</v>
      </c>
      <c r="D70" s="14" t="s">
        <v>212</v>
      </c>
      <c r="E70" s="13" t="s">
        <v>582</v>
      </c>
      <c r="F70" s="13" t="s">
        <v>80</v>
      </c>
      <c r="G70" s="21">
        <v>43206</v>
      </c>
      <c r="H70" s="14" t="s">
        <v>290</v>
      </c>
      <c r="I70" s="36"/>
      <c r="J70" s="15"/>
      <c r="K70" s="15"/>
      <c r="L70" s="15"/>
      <c r="M70" s="16"/>
      <c r="N70" s="1"/>
      <c r="O70" s="1"/>
      <c r="P70" s="1"/>
    </row>
    <row r="71" spans="1:16" x14ac:dyDescent="0.25">
      <c r="A71" s="13" t="s">
        <v>1040</v>
      </c>
      <c r="B71" s="13" t="s">
        <v>1041</v>
      </c>
      <c r="C71" s="14" t="s">
        <v>1458</v>
      </c>
      <c r="D71" s="14" t="s">
        <v>212</v>
      </c>
      <c r="E71" s="13" t="s">
        <v>601</v>
      </c>
      <c r="F71" s="13" t="s">
        <v>93</v>
      </c>
      <c r="G71" s="21">
        <v>43255</v>
      </c>
      <c r="H71" s="14" t="s">
        <v>290</v>
      </c>
      <c r="I71" s="36"/>
      <c r="J71" s="15"/>
      <c r="K71" s="15"/>
      <c r="L71" s="15"/>
      <c r="M71" s="16"/>
      <c r="N71" s="1"/>
      <c r="O71" s="1"/>
      <c r="P71" s="1"/>
    </row>
    <row r="72" spans="1:16" x14ac:dyDescent="0.25">
      <c r="A72" s="13" t="s">
        <v>1060</v>
      </c>
      <c r="B72" s="13" t="s">
        <v>1061</v>
      </c>
      <c r="C72" s="14" t="s">
        <v>1458</v>
      </c>
      <c r="D72" s="14" t="s">
        <v>212</v>
      </c>
      <c r="E72" s="13" t="s">
        <v>1027</v>
      </c>
      <c r="F72" s="13" t="s">
        <v>93</v>
      </c>
      <c r="G72" s="21">
        <v>43257</v>
      </c>
      <c r="H72" s="14" t="s">
        <v>597</v>
      </c>
      <c r="I72" s="36"/>
      <c r="J72" s="15"/>
      <c r="K72" s="15"/>
      <c r="L72" s="15"/>
      <c r="M72" s="16"/>
      <c r="N72" s="1"/>
      <c r="O72" s="1"/>
      <c r="P72" s="1"/>
    </row>
    <row r="73" spans="1:16" x14ac:dyDescent="0.25">
      <c r="A73" s="13" t="s">
        <v>1062</v>
      </c>
      <c r="B73" s="13" t="s">
        <v>1063</v>
      </c>
      <c r="C73" s="14" t="s">
        <v>1458</v>
      </c>
      <c r="D73" s="14" t="s">
        <v>212</v>
      </c>
      <c r="E73" s="13" t="s">
        <v>623</v>
      </c>
      <c r="F73" s="13" t="s">
        <v>93</v>
      </c>
      <c r="G73" s="21">
        <v>43262</v>
      </c>
      <c r="H73" s="14" t="s">
        <v>929</v>
      </c>
      <c r="I73" s="36"/>
      <c r="J73" s="15"/>
      <c r="K73" s="15"/>
      <c r="L73" s="15"/>
      <c r="M73" s="16"/>
      <c r="N73" s="1"/>
      <c r="O73" s="1"/>
      <c r="P73" s="1"/>
    </row>
    <row r="74" spans="1:16" x14ac:dyDescent="0.25">
      <c r="A74" s="13" t="s">
        <v>1064</v>
      </c>
      <c r="B74" s="13" t="s">
        <v>1065</v>
      </c>
      <c r="C74" s="14" t="s">
        <v>1458</v>
      </c>
      <c r="D74" s="14" t="s">
        <v>212</v>
      </c>
      <c r="E74" s="13" t="s">
        <v>1066</v>
      </c>
      <c r="F74" s="13" t="s">
        <v>93</v>
      </c>
      <c r="G74" s="21">
        <v>43259</v>
      </c>
      <c r="H74" s="14" t="s">
        <v>1484</v>
      </c>
      <c r="I74" s="36"/>
      <c r="J74" s="15"/>
      <c r="K74" s="15"/>
      <c r="L74" s="15"/>
      <c r="M74" s="16"/>
      <c r="N74" s="1"/>
      <c r="O74" s="1"/>
      <c r="P74" s="1"/>
    </row>
    <row r="75" spans="1:16" x14ac:dyDescent="0.25">
      <c r="A75" s="13" t="s">
        <v>1081</v>
      </c>
      <c r="B75" s="13" t="s">
        <v>1082</v>
      </c>
      <c r="C75" s="14" t="s">
        <v>1458</v>
      </c>
      <c r="D75" s="14" t="s">
        <v>212</v>
      </c>
      <c r="E75" s="13" t="s">
        <v>228</v>
      </c>
      <c r="F75" s="13" t="s">
        <v>157</v>
      </c>
      <c r="G75" s="21">
        <v>43270</v>
      </c>
      <c r="H75" s="14" t="s">
        <v>229</v>
      </c>
      <c r="I75" s="36"/>
      <c r="J75" s="15"/>
      <c r="K75" s="15"/>
      <c r="L75" s="15"/>
      <c r="M75" s="16"/>
      <c r="N75" s="1"/>
      <c r="O75" s="1"/>
      <c r="P75" s="1"/>
    </row>
    <row r="76" spans="1:16" x14ac:dyDescent="0.25">
      <c r="A76" s="13" t="s">
        <v>1097</v>
      </c>
      <c r="B76" s="13" t="s">
        <v>1098</v>
      </c>
      <c r="C76" s="14" t="s">
        <v>1458</v>
      </c>
      <c r="D76" s="14" t="s">
        <v>212</v>
      </c>
      <c r="E76" s="13" t="s">
        <v>601</v>
      </c>
      <c r="F76" s="13" t="s">
        <v>93</v>
      </c>
      <c r="G76" s="21">
        <v>43283</v>
      </c>
      <c r="H76" s="14" t="s">
        <v>597</v>
      </c>
      <c r="I76" s="36"/>
      <c r="J76" s="15"/>
      <c r="K76" s="15"/>
      <c r="L76" s="15"/>
      <c r="M76" s="16"/>
      <c r="N76" s="1"/>
      <c r="O76" s="1"/>
      <c r="P76" s="1"/>
    </row>
    <row r="77" spans="1:16" x14ac:dyDescent="0.25">
      <c r="A77" s="13" t="s">
        <v>1099</v>
      </c>
      <c r="B77" s="13" t="s">
        <v>1100</v>
      </c>
      <c r="C77" s="14" t="s">
        <v>1458</v>
      </c>
      <c r="D77" s="14" t="s">
        <v>212</v>
      </c>
      <c r="E77" s="13" t="s">
        <v>601</v>
      </c>
      <c r="F77" s="13" t="s">
        <v>93</v>
      </c>
      <c r="G77" s="21">
        <v>43285</v>
      </c>
      <c r="H77" s="14" t="s">
        <v>597</v>
      </c>
      <c r="I77" s="36"/>
      <c r="J77" s="15"/>
      <c r="K77" s="15"/>
      <c r="L77" s="15"/>
      <c r="M77" s="16"/>
      <c r="N77" s="1"/>
      <c r="O77" s="1"/>
      <c r="P77" s="1"/>
    </row>
    <row r="78" spans="1:16" x14ac:dyDescent="0.25">
      <c r="A78" s="13" t="s">
        <v>1125</v>
      </c>
      <c r="B78" s="13" t="s">
        <v>1126</v>
      </c>
      <c r="C78" s="14" t="s">
        <v>1458</v>
      </c>
      <c r="D78" s="14" t="s">
        <v>212</v>
      </c>
      <c r="E78" s="13" t="s">
        <v>601</v>
      </c>
      <c r="F78" s="13" t="s">
        <v>93</v>
      </c>
      <c r="G78" s="21">
        <v>43290</v>
      </c>
      <c r="H78" s="14" t="s">
        <v>597</v>
      </c>
      <c r="I78" s="36"/>
      <c r="J78" s="15"/>
      <c r="K78" s="15"/>
      <c r="L78" s="15"/>
      <c r="M78" s="16"/>
      <c r="N78" s="1"/>
      <c r="O78" s="1"/>
      <c r="P78" s="1"/>
    </row>
    <row r="79" spans="1:16" x14ac:dyDescent="0.25">
      <c r="A79" s="13" t="s">
        <v>1127</v>
      </c>
      <c r="B79" s="13" t="s">
        <v>1128</v>
      </c>
      <c r="C79" s="14" t="s">
        <v>1458</v>
      </c>
      <c r="D79" s="14" t="s">
        <v>212</v>
      </c>
      <c r="E79" s="13" t="s">
        <v>601</v>
      </c>
      <c r="F79" s="13" t="s">
        <v>93</v>
      </c>
      <c r="G79" s="21">
        <v>43290</v>
      </c>
      <c r="H79" s="14" t="s">
        <v>597</v>
      </c>
      <c r="I79" s="36"/>
      <c r="J79" s="15"/>
      <c r="K79" s="15"/>
      <c r="L79" s="15"/>
      <c r="M79" s="16"/>
      <c r="N79" s="1"/>
      <c r="O79" s="1"/>
      <c r="P79" s="1"/>
    </row>
    <row r="80" spans="1:16" x14ac:dyDescent="0.25">
      <c r="A80" s="13" t="s">
        <v>1129</v>
      </c>
      <c r="B80" s="13" t="s">
        <v>1130</v>
      </c>
      <c r="C80" s="14" t="s">
        <v>1458</v>
      </c>
      <c r="D80" s="14" t="s">
        <v>212</v>
      </c>
      <c r="E80" s="13" t="s">
        <v>601</v>
      </c>
      <c r="F80" s="13" t="s">
        <v>93</v>
      </c>
      <c r="G80" s="21">
        <v>43290</v>
      </c>
      <c r="H80" s="14" t="s">
        <v>597</v>
      </c>
      <c r="I80" s="36"/>
      <c r="J80" s="15"/>
      <c r="K80" s="15"/>
      <c r="L80" s="15"/>
      <c r="M80" s="16"/>
      <c r="N80" s="1"/>
      <c r="O80" s="1"/>
      <c r="P80" s="1"/>
    </row>
    <row r="81" spans="1:16" x14ac:dyDescent="0.25">
      <c r="A81" s="13" t="s">
        <v>1131</v>
      </c>
      <c r="B81" s="13" t="s">
        <v>1132</v>
      </c>
      <c r="C81" s="14" t="s">
        <v>1458</v>
      </c>
      <c r="D81" s="14" t="s">
        <v>212</v>
      </c>
      <c r="E81" s="13" t="s">
        <v>601</v>
      </c>
      <c r="F81" s="13" t="s">
        <v>93</v>
      </c>
      <c r="G81" s="21">
        <v>43290</v>
      </c>
      <c r="H81" s="14" t="s">
        <v>597</v>
      </c>
      <c r="I81" s="36"/>
      <c r="J81" s="15"/>
      <c r="K81" s="15"/>
      <c r="L81" s="15"/>
      <c r="M81" s="16"/>
      <c r="N81" s="1"/>
      <c r="O81" s="1"/>
      <c r="P81" s="1"/>
    </row>
    <row r="82" spans="1:16" x14ac:dyDescent="0.25">
      <c r="A82" s="13" t="s">
        <v>1133</v>
      </c>
      <c r="B82" s="13" t="s">
        <v>1134</v>
      </c>
      <c r="C82" s="14" t="s">
        <v>1458</v>
      </c>
      <c r="D82" s="14" t="s">
        <v>212</v>
      </c>
      <c r="E82" s="13" t="s">
        <v>601</v>
      </c>
      <c r="F82" s="13" t="s">
        <v>93</v>
      </c>
      <c r="G82" s="21">
        <v>43290</v>
      </c>
      <c r="H82" s="14" t="s">
        <v>597</v>
      </c>
      <c r="I82" s="36"/>
      <c r="J82" s="15"/>
      <c r="K82" s="15"/>
      <c r="L82" s="15"/>
      <c r="M82" s="16"/>
      <c r="N82" s="1"/>
      <c r="O82" s="1"/>
      <c r="P82" s="1"/>
    </row>
    <row r="83" spans="1:16" x14ac:dyDescent="0.25">
      <c r="A83" s="13" t="s">
        <v>1135</v>
      </c>
      <c r="B83" s="13" t="s">
        <v>1136</v>
      </c>
      <c r="C83" s="14" t="s">
        <v>1458</v>
      </c>
      <c r="D83" s="14" t="s">
        <v>212</v>
      </c>
      <c r="E83" s="13" t="s">
        <v>601</v>
      </c>
      <c r="F83" s="13" t="s">
        <v>93</v>
      </c>
      <c r="G83" s="21">
        <v>43290</v>
      </c>
      <c r="H83" s="14" t="s">
        <v>597</v>
      </c>
      <c r="I83" s="36"/>
      <c r="J83" s="15"/>
      <c r="K83" s="15"/>
      <c r="L83" s="15"/>
      <c r="M83" s="16"/>
      <c r="N83" s="1"/>
      <c r="O83" s="1"/>
      <c r="P83" s="1"/>
    </row>
    <row r="84" spans="1:16" x14ac:dyDescent="0.25">
      <c r="A84" s="13" t="s">
        <v>1137</v>
      </c>
      <c r="B84" s="13" t="s">
        <v>1138</v>
      </c>
      <c r="C84" s="14" t="s">
        <v>1458</v>
      </c>
      <c r="D84" s="14" t="s">
        <v>212</v>
      </c>
      <c r="E84" s="13" t="s">
        <v>601</v>
      </c>
      <c r="F84" s="13" t="s">
        <v>93</v>
      </c>
      <c r="G84" s="21">
        <v>43290</v>
      </c>
      <c r="H84" s="14" t="s">
        <v>597</v>
      </c>
      <c r="I84" s="36"/>
      <c r="J84" s="15"/>
      <c r="K84" s="15"/>
      <c r="L84" s="15"/>
      <c r="M84" s="16"/>
      <c r="N84" s="1"/>
      <c r="O84" s="1"/>
      <c r="P84" s="1"/>
    </row>
    <row r="85" spans="1:16" x14ac:dyDescent="0.25">
      <c r="A85" s="13" t="s">
        <v>1140</v>
      </c>
      <c r="B85" s="13" t="s">
        <v>1141</v>
      </c>
      <c r="C85" s="14" t="s">
        <v>1458</v>
      </c>
      <c r="D85" s="14" t="s">
        <v>212</v>
      </c>
      <c r="E85" s="13" t="s">
        <v>601</v>
      </c>
      <c r="F85" s="13" t="s">
        <v>93</v>
      </c>
      <c r="G85" s="21">
        <v>43290</v>
      </c>
      <c r="H85" s="14" t="s">
        <v>597</v>
      </c>
      <c r="I85" s="36"/>
      <c r="J85" s="15"/>
      <c r="K85" s="15"/>
      <c r="L85" s="15"/>
      <c r="M85" s="16"/>
      <c r="N85" s="1"/>
      <c r="O85" s="1"/>
      <c r="P85" s="1"/>
    </row>
    <row r="86" spans="1:16" x14ac:dyDescent="0.25">
      <c r="A86" s="13" t="s">
        <v>1142</v>
      </c>
      <c r="B86" s="13" t="s">
        <v>1143</v>
      </c>
      <c r="C86" s="14" t="s">
        <v>1458</v>
      </c>
      <c r="D86" s="14" t="s">
        <v>212</v>
      </c>
      <c r="E86" s="13" t="s">
        <v>601</v>
      </c>
      <c r="F86" s="13" t="s">
        <v>93</v>
      </c>
      <c r="G86" s="21">
        <v>43290</v>
      </c>
      <c r="H86" s="14" t="s">
        <v>597</v>
      </c>
      <c r="I86" s="36"/>
      <c r="J86" s="15"/>
      <c r="K86" s="15"/>
      <c r="L86" s="15"/>
      <c r="M86" s="16"/>
      <c r="N86" s="1"/>
      <c r="O86" s="1"/>
      <c r="P86" s="1"/>
    </row>
    <row r="87" spans="1:16" x14ac:dyDescent="0.25">
      <c r="A87" s="13" t="s">
        <v>1144</v>
      </c>
      <c r="B87" s="13" t="s">
        <v>1145</v>
      </c>
      <c r="C87" s="14" t="s">
        <v>1458</v>
      </c>
      <c r="D87" s="14" t="s">
        <v>212</v>
      </c>
      <c r="E87" s="13" t="s">
        <v>601</v>
      </c>
      <c r="F87" s="13" t="s">
        <v>93</v>
      </c>
      <c r="G87" s="21">
        <v>43290</v>
      </c>
      <c r="H87" s="14" t="s">
        <v>597</v>
      </c>
      <c r="I87" s="36"/>
      <c r="J87" s="15"/>
      <c r="K87" s="15"/>
      <c r="L87" s="15"/>
      <c r="M87" s="16"/>
      <c r="N87" s="1"/>
      <c r="O87" s="1"/>
      <c r="P87" s="1"/>
    </row>
    <row r="88" spans="1:16" x14ac:dyDescent="0.25">
      <c r="A88" s="13" t="s">
        <v>1146</v>
      </c>
      <c r="B88" s="13" t="s">
        <v>1147</v>
      </c>
      <c r="C88" s="14" t="s">
        <v>1458</v>
      </c>
      <c r="D88" s="14" t="s">
        <v>212</v>
      </c>
      <c r="E88" s="13" t="s">
        <v>601</v>
      </c>
      <c r="F88" s="13" t="s">
        <v>93</v>
      </c>
      <c r="G88" s="21">
        <v>43290</v>
      </c>
      <c r="H88" s="14" t="s">
        <v>597</v>
      </c>
      <c r="I88" s="36"/>
      <c r="J88" s="15"/>
      <c r="K88" s="15"/>
      <c r="L88" s="15"/>
      <c r="M88" s="16"/>
      <c r="N88" s="1"/>
      <c r="O88" s="1"/>
      <c r="P88" s="1"/>
    </row>
    <row r="89" spans="1:16" x14ac:dyDescent="0.25">
      <c r="A89" s="13" t="s">
        <v>1148</v>
      </c>
      <c r="B89" s="13" t="s">
        <v>1149</v>
      </c>
      <c r="C89" s="14" t="s">
        <v>1458</v>
      </c>
      <c r="D89" s="14" t="s">
        <v>212</v>
      </c>
      <c r="E89" s="13" t="s">
        <v>601</v>
      </c>
      <c r="F89" s="13" t="s">
        <v>93</v>
      </c>
      <c r="G89" s="21">
        <v>43290</v>
      </c>
      <c r="H89" s="14" t="s">
        <v>597</v>
      </c>
      <c r="I89" s="36"/>
      <c r="J89" s="15"/>
      <c r="K89" s="15"/>
      <c r="L89" s="15"/>
      <c r="M89" s="16"/>
      <c r="N89" s="1"/>
      <c r="O89" s="1"/>
      <c r="P89" s="1"/>
    </row>
    <row r="90" spans="1:16" x14ac:dyDescent="0.25">
      <c r="A90" s="13" t="s">
        <v>1150</v>
      </c>
      <c r="B90" s="13" t="s">
        <v>1151</v>
      </c>
      <c r="C90" s="14" t="s">
        <v>1458</v>
      </c>
      <c r="D90" s="14" t="s">
        <v>212</v>
      </c>
      <c r="E90" s="13" t="s">
        <v>601</v>
      </c>
      <c r="F90" s="13" t="s">
        <v>93</v>
      </c>
      <c r="G90" s="21">
        <v>43290</v>
      </c>
      <c r="H90" s="14" t="s">
        <v>597</v>
      </c>
      <c r="I90" s="36"/>
      <c r="J90" s="15"/>
      <c r="K90" s="15"/>
      <c r="L90" s="15"/>
      <c r="M90" s="16"/>
      <c r="N90" s="1"/>
      <c r="O90" s="1"/>
      <c r="P90" s="1"/>
    </row>
    <row r="91" spans="1:16" x14ac:dyDescent="0.25">
      <c r="A91" s="13" t="s">
        <v>1152</v>
      </c>
      <c r="B91" s="13" t="s">
        <v>1153</v>
      </c>
      <c r="C91" s="14" t="s">
        <v>1458</v>
      </c>
      <c r="D91" s="14" t="s">
        <v>212</v>
      </c>
      <c r="E91" s="13" t="s">
        <v>601</v>
      </c>
      <c r="F91" s="13" t="s">
        <v>93</v>
      </c>
      <c r="G91" s="21">
        <v>43291</v>
      </c>
      <c r="H91" s="14" t="s">
        <v>597</v>
      </c>
      <c r="I91" s="36"/>
      <c r="J91" s="15"/>
      <c r="K91" s="15"/>
      <c r="L91" s="15"/>
      <c r="M91" s="16"/>
      <c r="N91" s="1"/>
      <c r="O91" s="1"/>
      <c r="P91" s="1"/>
    </row>
    <row r="92" spans="1:16" x14ac:dyDescent="0.25">
      <c r="A92" s="13" t="s">
        <v>1154</v>
      </c>
      <c r="B92" s="13" t="s">
        <v>1155</v>
      </c>
      <c r="C92" s="14" t="s">
        <v>1458</v>
      </c>
      <c r="D92" s="14" t="s">
        <v>212</v>
      </c>
      <c r="E92" s="13" t="s">
        <v>601</v>
      </c>
      <c r="F92" s="13" t="s">
        <v>93</v>
      </c>
      <c r="G92" s="21">
        <v>43290</v>
      </c>
      <c r="H92" s="14" t="s">
        <v>597</v>
      </c>
      <c r="I92" s="36"/>
      <c r="J92" s="15"/>
      <c r="K92" s="15"/>
      <c r="L92" s="15"/>
      <c r="M92" s="16"/>
      <c r="N92" s="1"/>
      <c r="O92" s="1"/>
      <c r="P92" s="1"/>
    </row>
    <row r="93" spans="1:16" x14ac:dyDescent="0.25">
      <c r="A93" s="13" t="s">
        <v>1156</v>
      </c>
      <c r="B93" s="13" t="s">
        <v>1157</v>
      </c>
      <c r="C93" s="14" t="s">
        <v>1458</v>
      </c>
      <c r="D93" s="14" t="s">
        <v>212</v>
      </c>
      <c r="E93" s="13" t="s">
        <v>601</v>
      </c>
      <c r="F93" s="13" t="s">
        <v>93</v>
      </c>
      <c r="G93" s="21">
        <v>43291</v>
      </c>
      <c r="H93" s="14" t="s">
        <v>597</v>
      </c>
      <c r="I93" s="36"/>
      <c r="J93" s="15"/>
      <c r="K93" s="15"/>
      <c r="L93" s="15"/>
      <c r="M93" s="16"/>
      <c r="N93" s="1"/>
      <c r="O93" s="1"/>
      <c r="P93" s="1"/>
    </row>
    <row r="94" spans="1:16" x14ac:dyDescent="0.25">
      <c r="A94" s="13" t="s">
        <v>1158</v>
      </c>
      <c r="B94" s="13" t="s">
        <v>1139</v>
      </c>
      <c r="C94" s="14" t="s">
        <v>1458</v>
      </c>
      <c r="D94" s="14" t="s">
        <v>212</v>
      </c>
      <c r="E94" s="13" t="s">
        <v>1027</v>
      </c>
      <c r="F94" s="13" t="s">
        <v>157</v>
      </c>
      <c r="G94" s="21">
        <v>43292</v>
      </c>
      <c r="H94" s="14" t="s">
        <v>290</v>
      </c>
      <c r="I94" s="36"/>
      <c r="J94" s="15"/>
      <c r="K94" s="15"/>
      <c r="L94" s="15"/>
      <c r="M94" s="16"/>
      <c r="N94" s="1"/>
      <c r="O94" s="1"/>
      <c r="P94" s="1"/>
    </row>
    <row r="95" spans="1:16" x14ac:dyDescent="0.25">
      <c r="A95" s="13" t="s">
        <v>1251</v>
      </c>
      <c r="B95" s="13" t="s">
        <v>1252</v>
      </c>
      <c r="C95" s="14" t="s">
        <v>1458</v>
      </c>
      <c r="D95" s="14" t="s">
        <v>212</v>
      </c>
      <c r="E95" s="13" t="s">
        <v>681</v>
      </c>
      <c r="F95" s="13" t="s">
        <v>157</v>
      </c>
      <c r="G95" s="21">
        <v>43388</v>
      </c>
      <c r="H95" s="14" t="s">
        <v>229</v>
      </c>
      <c r="I95" s="36"/>
      <c r="J95" s="15"/>
      <c r="K95" s="15"/>
      <c r="L95" s="15"/>
      <c r="M95" s="16"/>
      <c r="N95" s="1"/>
      <c r="O95" s="1"/>
      <c r="P95" s="1"/>
    </row>
    <row r="96" spans="1:16" x14ac:dyDescent="0.25">
      <c r="A96" s="13" t="s">
        <v>1280</v>
      </c>
      <c r="B96" s="13" t="s">
        <v>1281</v>
      </c>
      <c r="C96" s="14" t="s">
        <v>1458</v>
      </c>
      <c r="D96" s="14" t="s">
        <v>212</v>
      </c>
      <c r="E96" s="13" t="s">
        <v>228</v>
      </c>
      <c r="F96" s="13" t="s">
        <v>38</v>
      </c>
      <c r="G96" s="21">
        <v>43402</v>
      </c>
      <c r="H96" s="14" t="s">
        <v>229</v>
      </c>
      <c r="I96" s="36"/>
      <c r="J96" s="15"/>
      <c r="K96" s="15"/>
      <c r="L96" s="15"/>
      <c r="M96" s="16"/>
      <c r="N96" s="1"/>
      <c r="O96" s="1"/>
      <c r="P96" s="1"/>
    </row>
    <row r="97" spans="1:16" x14ac:dyDescent="0.25">
      <c r="A97" s="13" t="s">
        <v>1287</v>
      </c>
      <c r="B97" s="13" t="s">
        <v>1288</v>
      </c>
      <c r="C97" s="14" t="s">
        <v>1458</v>
      </c>
      <c r="D97" s="14" t="s">
        <v>212</v>
      </c>
      <c r="E97" s="13" t="s">
        <v>681</v>
      </c>
      <c r="F97" s="13" t="s">
        <v>157</v>
      </c>
      <c r="G97" s="21">
        <v>43388</v>
      </c>
      <c r="H97" s="14" t="s">
        <v>229</v>
      </c>
      <c r="I97" s="36"/>
      <c r="J97" s="15"/>
      <c r="K97" s="15"/>
      <c r="L97" s="15"/>
      <c r="M97" s="16"/>
      <c r="N97" s="1"/>
      <c r="O97" s="1"/>
      <c r="P97" s="1"/>
    </row>
    <row r="98" spans="1:16" x14ac:dyDescent="0.25">
      <c r="A98" s="13" t="s">
        <v>1485</v>
      </c>
      <c r="B98" s="13" t="s">
        <v>1486</v>
      </c>
      <c r="C98" s="14" t="s">
        <v>1458</v>
      </c>
      <c r="D98" s="14" t="s">
        <v>212</v>
      </c>
      <c r="E98" s="13" t="s">
        <v>228</v>
      </c>
      <c r="F98" s="13"/>
      <c r="G98" s="21">
        <v>43270</v>
      </c>
      <c r="H98" s="14" t="s">
        <v>229</v>
      </c>
      <c r="I98" s="36"/>
      <c r="J98" s="15"/>
      <c r="K98" s="15"/>
      <c r="L98" s="15"/>
      <c r="M98" s="16"/>
      <c r="N98" s="1"/>
      <c r="O98" s="1"/>
      <c r="P98" s="1"/>
    </row>
    <row r="99" spans="1:16" x14ac:dyDescent="0.25">
      <c r="A99" s="13" t="s">
        <v>1353</v>
      </c>
      <c r="B99" s="13" t="s">
        <v>1354</v>
      </c>
      <c r="C99" s="20" t="s">
        <v>1458</v>
      </c>
      <c r="D99" s="13" t="s">
        <v>212</v>
      </c>
      <c r="E99" s="13" t="s">
        <v>1355</v>
      </c>
      <c r="F99" s="13"/>
      <c r="G99" s="21">
        <v>43439</v>
      </c>
      <c r="H99" s="13" t="s">
        <v>290</v>
      </c>
      <c r="I99" s="36"/>
      <c r="J99" s="15"/>
      <c r="K99" s="15"/>
      <c r="L99" s="15"/>
      <c r="M99" s="16"/>
      <c r="N99" s="1"/>
      <c r="O99" s="1"/>
      <c r="P99" s="1"/>
    </row>
    <row r="100" spans="1:16" x14ac:dyDescent="0.25">
      <c r="A100" s="13" t="s">
        <v>1356</v>
      </c>
      <c r="B100" s="13" t="s">
        <v>1357</v>
      </c>
      <c r="C100" s="20" t="s">
        <v>1458</v>
      </c>
      <c r="D100" s="13" t="s">
        <v>212</v>
      </c>
      <c r="E100" s="13" t="s">
        <v>1355</v>
      </c>
      <c r="F100" s="13"/>
      <c r="G100" s="21">
        <v>43439</v>
      </c>
      <c r="H100" s="13" t="s">
        <v>290</v>
      </c>
      <c r="I100" s="36"/>
      <c r="J100" s="15"/>
      <c r="K100" s="15"/>
      <c r="L100" s="15"/>
      <c r="M100" s="16"/>
      <c r="N100" s="1"/>
      <c r="O100" s="1"/>
      <c r="P100" s="1"/>
    </row>
    <row r="101" spans="1:16" x14ac:dyDescent="0.25">
      <c r="A101" s="13" t="s">
        <v>1358</v>
      </c>
      <c r="B101" s="13" t="s">
        <v>1359</v>
      </c>
      <c r="C101" s="20" t="s">
        <v>1458</v>
      </c>
      <c r="D101" s="13" t="s">
        <v>212</v>
      </c>
      <c r="E101" s="13" t="s">
        <v>1355</v>
      </c>
      <c r="F101" s="13"/>
      <c r="G101" s="21">
        <v>43439</v>
      </c>
      <c r="H101" s="13" t="s">
        <v>290</v>
      </c>
      <c r="I101" s="36"/>
      <c r="J101" s="15"/>
      <c r="K101" s="15"/>
      <c r="L101" s="15"/>
      <c r="M101" s="16"/>
      <c r="N101" s="1"/>
      <c r="O101" s="1"/>
      <c r="P101" s="1"/>
    </row>
    <row r="102" spans="1:16" x14ac:dyDescent="0.25">
      <c r="A102" s="13" t="s">
        <v>1360</v>
      </c>
      <c r="B102" s="13" t="s">
        <v>1361</v>
      </c>
      <c r="C102" s="20" t="s">
        <v>1458</v>
      </c>
      <c r="D102" s="13" t="s">
        <v>212</v>
      </c>
      <c r="E102" s="13" t="s">
        <v>1355</v>
      </c>
      <c r="F102" s="13"/>
      <c r="G102" s="21">
        <v>43439</v>
      </c>
      <c r="H102" s="13" t="s">
        <v>290</v>
      </c>
      <c r="I102" s="36"/>
      <c r="J102" s="15"/>
      <c r="K102" s="15"/>
      <c r="L102" s="15"/>
      <c r="M102" s="16"/>
      <c r="N102" s="1"/>
      <c r="O102" s="1"/>
      <c r="P102" s="1"/>
    </row>
    <row r="103" spans="1:16" x14ac:dyDescent="0.25">
      <c r="A103" s="13" t="s">
        <v>1362</v>
      </c>
      <c r="B103" s="13" t="s">
        <v>1363</v>
      </c>
      <c r="C103" s="20" t="s">
        <v>1458</v>
      </c>
      <c r="D103" s="13" t="s">
        <v>212</v>
      </c>
      <c r="E103" s="13" t="s">
        <v>1355</v>
      </c>
      <c r="F103" s="13"/>
      <c r="G103" s="21">
        <v>43439</v>
      </c>
      <c r="H103" s="13" t="s">
        <v>290</v>
      </c>
      <c r="I103" s="36"/>
      <c r="J103" s="15"/>
      <c r="K103" s="15"/>
      <c r="L103" s="15"/>
      <c r="M103" s="16"/>
      <c r="N103" s="1"/>
      <c r="O103" s="1"/>
      <c r="P103" s="1"/>
    </row>
    <row r="104" spans="1:16" x14ac:dyDescent="0.25">
      <c r="A104" s="13" t="s">
        <v>216</v>
      </c>
      <c r="B104" s="13" t="s">
        <v>217</v>
      </c>
      <c r="C104" s="20" t="s">
        <v>1458</v>
      </c>
      <c r="D104" s="13" t="s">
        <v>212</v>
      </c>
      <c r="E104" s="13" t="s">
        <v>218</v>
      </c>
      <c r="F104" s="13" t="s">
        <v>38</v>
      </c>
      <c r="G104" s="21">
        <v>42310</v>
      </c>
      <c r="H104" s="13" t="s">
        <v>290</v>
      </c>
      <c r="I104" s="36"/>
      <c r="J104" s="15"/>
      <c r="K104" s="15"/>
      <c r="L104" s="15"/>
      <c r="M104" s="16"/>
      <c r="N104" s="1"/>
      <c r="O104" s="1"/>
      <c r="P104" s="1"/>
    </row>
    <row r="105" spans="1:16" x14ac:dyDescent="0.25">
      <c r="A105" s="13" t="s">
        <v>749</v>
      </c>
      <c r="B105" s="13" t="s">
        <v>750</v>
      </c>
      <c r="C105" s="20" t="s">
        <v>1458</v>
      </c>
      <c r="D105" s="13" t="s">
        <v>212</v>
      </c>
      <c r="E105" s="13" t="s">
        <v>213</v>
      </c>
      <c r="F105" s="13" t="s">
        <v>157</v>
      </c>
      <c r="G105" s="21">
        <v>42901</v>
      </c>
      <c r="H105" s="13" t="s">
        <v>217</v>
      </c>
      <c r="I105" s="36"/>
      <c r="J105" s="15"/>
      <c r="K105" s="15"/>
      <c r="L105" s="15"/>
      <c r="M105" s="16"/>
      <c r="N105" s="1"/>
      <c r="O105" s="1"/>
      <c r="P105" s="1"/>
    </row>
    <row r="106" spans="1:16" x14ac:dyDescent="0.25">
      <c r="A106" s="13" t="s">
        <v>1368</v>
      </c>
      <c r="B106" s="13" t="s">
        <v>1369</v>
      </c>
      <c r="C106" s="20" t="s">
        <v>1458</v>
      </c>
      <c r="D106" s="13" t="s">
        <v>212</v>
      </c>
      <c r="E106" s="13" t="s">
        <v>1355</v>
      </c>
      <c r="F106" s="13"/>
      <c r="G106" s="21">
        <v>43452</v>
      </c>
      <c r="H106" s="13" t="s">
        <v>290</v>
      </c>
      <c r="I106" s="36"/>
      <c r="J106" s="15"/>
      <c r="K106" s="15"/>
      <c r="L106" s="15"/>
      <c r="M106" s="16"/>
      <c r="N106" s="1"/>
      <c r="O106" s="1"/>
      <c r="P106" s="1"/>
    </row>
    <row r="107" spans="1:16" x14ac:dyDescent="0.25">
      <c r="A107" s="13" t="s">
        <v>1370</v>
      </c>
      <c r="B107" s="13" t="s">
        <v>1371</v>
      </c>
      <c r="C107" s="20" t="s">
        <v>1458</v>
      </c>
      <c r="D107" s="13" t="s">
        <v>212</v>
      </c>
      <c r="E107" s="13" t="s">
        <v>1355</v>
      </c>
      <c r="F107" s="13"/>
      <c r="G107" s="21">
        <v>43452</v>
      </c>
      <c r="H107" s="13" t="s">
        <v>290</v>
      </c>
      <c r="I107" s="36"/>
      <c r="J107" s="15"/>
      <c r="K107" s="15"/>
      <c r="L107" s="15"/>
      <c r="M107" s="16"/>
      <c r="N107" s="1"/>
      <c r="O107" s="1"/>
      <c r="P107" s="1"/>
    </row>
    <row r="108" spans="1:16" x14ac:dyDescent="0.25">
      <c r="A108" s="13" t="s">
        <v>1372</v>
      </c>
      <c r="B108" s="13" t="s">
        <v>1320</v>
      </c>
      <c r="C108" s="20" t="s">
        <v>1458</v>
      </c>
      <c r="D108" s="13" t="s">
        <v>212</v>
      </c>
      <c r="E108" s="13" t="s">
        <v>1355</v>
      </c>
      <c r="F108" s="13"/>
      <c r="G108" s="21">
        <v>43452</v>
      </c>
      <c r="H108" s="13" t="s">
        <v>290</v>
      </c>
      <c r="I108" s="36"/>
      <c r="J108" s="15"/>
      <c r="K108" s="15"/>
      <c r="L108" s="15"/>
      <c r="M108" s="16"/>
      <c r="N108" s="1"/>
      <c r="O108" s="1"/>
      <c r="P108" s="1"/>
    </row>
    <row r="109" spans="1:16" x14ac:dyDescent="0.25">
      <c r="A109" s="13" t="s">
        <v>1417</v>
      </c>
      <c r="B109" s="13" t="s">
        <v>1418</v>
      </c>
      <c r="C109" s="20" t="s">
        <v>1458</v>
      </c>
      <c r="D109" s="13" t="s">
        <v>212</v>
      </c>
      <c r="E109" s="13" t="s">
        <v>1355</v>
      </c>
      <c r="F109" s="13"/>
      <c r="G109" s="21">
        <v>43460</v>
      </c>
      <c r="H109" s="13" t="s">
        <v>290</v>
      </c>
      <c r="I109" s="36"/>
      <c r="J109" s="15"/>
      <c r="K109" s="15"/>
      <c r="L109" s="15"/>
      <c r="M109" s="16"/>
      <c r="N109" s="1"/>
      <c r="O109" s="1"/>
      <c r="P109" s="1"/>
    </row>
    <row r="110" spans="1:16" x14ac:dyDescent="0.25">
      <c r="A110" s="13" t="s">
        <v>1419</v>
      </c>
      <c r="B110" s="13" t="s">
        <v>1420</v>
      </c>
      <c r="C110" s="20" t="s">
        <v>1458</v>
      </c>
      <c r="D110" s="13" t="s">
        <v>212</v>
      </c>
      <c r="E110" s="13" t="s">
        <v>1355</v>
      </c>
      <c r="F110" s="13"/>
      <c r="G110" s="21">
        <v>43460</v>
      </c>
      <c r="H110" s="13" t="s">
        <v>290</v>
      </c>
      <c r="I110" s="36"/>
      <c r="J110" s="15"/>
      <c r="K110" s="15"/>
      <c r="L110" s="15"/>
      <c r="M110" s="16"/>
      <c r="N110" s="1"/>
      <c r="O110" s="1"/>
      <c r="P110" s="1"/>
    </row>
    <row r="111" spans="1:16" x14ac:dyDescent="0.25">
      <c r="A111" s="13" t="s">
        <v>919</v>
      </c>
      <c r="B111" s="13" t="s">
        <v>920</v>
      </c>
      <c r="C111" s="20" t="s">
        <v>1458</v>
      </c>
      <c r="D111" s="13" t="s">
        <v>1487</v>
      </c>
      <c r="E111" s="13" t="s">
        <v>1488</v>
      </c>
      <c r="F111" s="13" t="s">
        <v>56</v>
      </c>
      <c r="G111" s="21">
        <v>43199</v>
      </c>
      <c r="H111" s="13" t="s">
        <v>62</v>
      </c>
      <c r="I111" s="36"/>
      <c r="J111" s="15"/>
      <c r="K111" s="15"/>
      <c r="L111" s="15"/>
      <c r="M111" s="16"/>
      <c r="N111" s="1"/>
      <c r="O111" s="1"/>
      <c r="P111" s="1"/>
    </row>
    <row r="112" spans="1:16" x14ac:dyDescent="0.25">
      <c r="A112" s="13" t="s">
        <v>57</v>
      </c>
      <c r="B112" s="13" t="s">
        <v>58</v>
      </c>
      <c r="C112" s="20" t="s">
        <v>1458</v>
      </c>
      <c r="D112" s="13"/>
      <c r="E112" s="13" t="s">
        <v>59</v>
      </c>
      <c r="F112" s="13" t="s">
        <v>60</v>
      </c>
      <c r="G112" s="21">
        <v>41518</v>
      </c>
      <c r="H112" s="13" t="s">
        <v>62</v>
      </c>
      <c r="I112" s="36"/>
      <c r="J112" s="15"/>
      <c r="K112" s="15"/>
      <c r="L112" s="15"/>
      <c r="M112" s="16"/>
      <c r="N112" s="1"/>
      <c r="O112" s="1"/>
      <c r="P112" s="1"/>
    </row>
    <row r="113" spans="1:16" x14ac:dyDescent="0.25">
      <c r="A113" s="13" t="s">
        <v>406</v>
      </c>
      <c r="B113" s="13" t="s">
        <v>407</v>
      </c>
      <c r="C113" s="20" t="s">
        <v>1458</v>
      </c>
      <c r="D113" s="13"/>
      <c r="E113" s="13" t="s">
        <v>232</v>
      </c>
      <c r="F113" s="13" t="s">
        <v>93</v>
      </c>
      <c r="G113" s="21">
        <v>42527</v>
      </c>
      <c r="H113" s="13" t="s">
        <v>58</v>
      </c>
      <c r="I113" s="36"/>
      <c r="J113" s="15"/>
      <c r="K113" s="15"/>
      <c r="L113" s="15"/>
      <c r="M113" s="16"/>
      <c r="N113" s="1"/>
      <c r="O113" s="1"/>
      <c r="P113" s="1"/>
    </row>
    <row r="114" spans="1:16" x14ac:dyDescent="0.25">
      <c r="A114" s="13" t="s">
        <v>637</v>
      </c>
      <c r="B114" s="13" t="s">
        <v>638</v>
      </c>
      <c r="C114" s="20" t="s">
        <v>1458</v>
      </c>
      <c r="D114" s="13"/>
      <c r="E114" s="13" t="s">
        <v>232</v>
      </c>
      <c r="F114" s="13" t="s">
        <v>93</v>
      </c>
      <c r="G114" s="21">
        <v>42723</v>
      </c>
      <c r="H114" s="13" t="s">
        <v>58</v>
      </c>
      <c r="I114" s="36"/>
      <c r="J114" s="15"/>
      <c r="K114" s="15"/>
      <c r="L114" s="15"/>
      <c r="M114" s="16"/>
      <c r="N114" s="1"/>
      <c r="O114" s="1"/>
      <c r="P114" s="1"/>
    </row>
    <row r="115" spans="1:16" x14ac:dyDescent="0.25">
      <c r="A115" s="13" t="s">
        <v>674</v>
      </c>
      <c r="B115" s="13" t="s">
        <v>675</v>
      </c>
      <c r="C115" s="20" t="s">
        <v>1458</v>
      </c>
      <c r="D115" s="13"/>
      <c r="E115" s="13" t="s">
        <v>232</v>
      </c>
      <c r="F115" s="13" t="s">
        <v>38</v>
      </c>
      <c r="G115" s="21">
        <v>42793</v>
      </c>
      <c r="H115" s="13" t="s">
        <v>58</v>
      </c>
      <c r="I115" s="36"/>
      <c r="J115" s="15"/>
      <c r="K115" s="15"/>
      <c r="L115" s="15"/>
      <c r="M115" s="16"/>
      <c r="N115" s="1"/>
      <c r="O115" s="1"/>
      <c r="P115" s="1"/>
    </row>
    <row r="116" spans="1:16" x14ac:dyDescent="0.25">
      <c r="A116" s="13" t="s">
        <v>1489</v>
      </c>
      <c r="B116" s="13" t="s">
        <v>210</v>
      </c>
      <c r="C116" s="20" t="s">
        <v>1458</v>
      </c>
      <c r="D116" s="13"/>
      <c r="E116" s="13" t="s">
        <v>211</v>
      </c>
      <c r="F116" s="13" t="s">
        <v>56</v>
      </c>
      <c r="G116" s="21">
        <v>42292</v>
      </c>
      <c r="H116" s="13" t="s">
        <v>62</v>
      </c>
      <c r="I116" s="36"/>
      <c r="J116" s="15"/>
      <c r="K116" s="15"/>
      <c r="L116" s="15"/>
      <c r="M116" s="16"/>
      <c r="N116" s="1"/>
      <c r="O116" s="1"/>
      <c r="P116" s="1"/>
    </row>
    <row r="117" spans="1:16" x14ac:dyDescent="0.25">
      <c r="A117" s="13" t="s">
        <v>466</v>
      </c>
      <c r="B117" s="13" t="s">
        <v>467</v>
      </c>
      <c r="C117" s="20" t="s">
        <v>1458</v>
      </c>
      <c r="D117" s="13" t="s">
        <v>1490</v>
      </c>
      <c r="E117" s="13" t="s">
        <v>468</v>
      </c>
      <c r="F117" s="13" t="s">
        <v>80</v>
      </c>
      <c r="G117" s="21">
        <v>42576</v>
      </c>
      <c r="H117" s="13" t="s">
        <v>469</v>
      </c>
      <c r="I117" s="36"/>
      <c r="J117" s="15"/>
      <c r="K117" s="15"/>
      <c r="L117" s="15"/>
      <c r="M117" s="16"/>
      <c r="N117" s="1"/>
      <c r="O117" s="1"/>
      <c r="P117" s="1"/>
    </row>
    <row r="118" spans="1:16" x14ac:dyDescent="0.25">
      <c r="A118" s="13" t="s">
        <v>1073</v>
      </c>
      <c r="B118" s="13" t="s">
        <v>1074</v>
      </c>
      <c r="C118" s="20" t="s">
        <v>1458</v>
      </c>
      <c r="D118" s="13" t="s">
        <v>1490</v>
      </c>
      <c r="E118" s="13" t="s">
        <v>204</v>
      </c>
      <c r="F118" s="13" t="s">
        <v>12</v>
      </c>
      <c r="G118" s="21">
        <v>43271</v>
      </c>
      <c r="H118" s="13" t="s">
        <v>469</v>
      </c>
      <c r="I118" s="36"/>
      <c r="J118" s="15"/>
      <c r="K118" s="15"/>
      <c r="L118" s="15"/>
      <c r="M118" s="16"/>
      <c r="N118" s="1"/>
      <c r="O118" s="1"/>
      <c r="P118" s="1"/>
    </row>
    <row r="119" spans="1:16" x14ac:dyDescent="0.25">
      <c r="A119" s="13" t="s">
        <v>1165</v>
      </c>
      <c r="B119" s="13" t="s">
        <v>1166</v>
      </c>
      <c r="C119" s="20" t="s">
        <v>1458</v>
      </c>
      <c r="D119" s="13" t="s">
        <v>1490</v>
      </c>
      <c r="E119" s="13" t="s">
        <v>939</v>
      </c>
      <c r="F119" s="13" t="s">
        <v>55</v>
      </c>
      <c r="G119" s="21">
        <v>43311</v>
      </c>
      <c r="H119" s="13" t="s">
        <v>469</v>
      </c>
      <c r="I119" s="36"/>
      <c r="J119" s="15"/>
      <c r="K119" s="15"/>
      <c r="L119" s="15"/>
      <c r="M119" s="16"/>
      <c r="N119" s="1"/>
      <c r="O119" s="1"/>
      <c r="P119" s="1"/>
    </row>
    <row r="120" spans="1:16" x14ac:dyDescent="0.25">
      <c r="A120" s="13" t="s">
        <v>1179</v>
      </c>
      <c r="B120" s="13" t="s">
        <v>469</v>
      </c>
      <c r="C120" s="20" t="s">
        <v>1458</v>
      </c>
      <c r="D120" s="13" t="s">
        <v>1490</v>
      </c>
      <c r="E120" s="13" t="s">
        <v>1180</v>
      </c>
      <c r="F120" s="13" t="s">
        <v>24</v>
      </c>
      <c r="G120" s="21">
        <v>43320</v>
      </c>
      <c r="H120" s="13" t="s">
        <v>62</v>
      </c>
      <c r="I120" s="36"/>
      <c r="J120" s="15"/>
      <c r="K120" s="15"/>
      <c r="L120" s="15"/>
      <c r="M120" s="16"/>
      <c r="N120" s="1"/>
      <c r="O120" s="1"/>
      <c r="P120" s="1"/>
    </row>
    <row r="121" spans="1:16" x14ac:dyDescent="0.25">
      <c r="A121" s="13" t="s">
        <v>575</v>
      </c>
      <c r="B121" s="13" t="s">
        <v>576</v>
      </c>
      <c r="C121" s="20" t="s">
        <v>1458</v>
      </c>
      <c r="D121" s="13" t="s">
        <v>122</v>
      </c>
      <c r="E121" s="13" t="s">
        <v>189</v>
      </c>
      <c r="F121" s="13" t="s">
        <v>157</v>
      </c>
      <c r="G121" s="21">
        <v>42667</v>
      </c>
      <c r="H121" s="13" t="s">
        <v>121</v>
      </c>
      <c r="I121" s="36"/>
      <c r="J121" s="15"/>
      <c r="K121" s="15"/>
      <c r="L121" s="15"/>
      <c r="M121" s="16"/>
      <c r="N121" s="1"/>
      <c r="O121" s="1"/>
      <c r="P121" s="1"/>
    </row>
    <row r="122" spans="1:16" x14ac:dyDescent="0.25">
      <c r="A122" s="13" t="s">
        <v>799</v>
      </c>
      <c r="B122" s="13" t="s">
        <v>800</v>
      </c>
      <c r="C122" s="20" t="s">
        <v>1458</v>
      </c>
      <c r="D122" s="13" t="s">
        <v>122</v>
      </c>
      <c r="E122" s="13" t="s">
        <v>240</v>
      </c>
      <c r="F122" s="13" t="s">
        <v>157</v>
      </c>
      <c r="G122" s="21">
        <v>42989</v>
      </c>
      <c r="H122" s="13" t="s">
        <v>170</v>
      </c>
      <c r="I122" s="36"/>
      <c r="J122" s="15"/>
      <c r="K122" s="15"/>
      <c r="L122" s="15"/>
      <c r="M122" s="16"/>
      <c r="N122" s="1"/>
      <c r="O122" s="1"/>
      <c r="P122" s="1"/>
    </row>
    <row r="123" spans="1:16" x14ac:dyDescent="0.25">
      <c r="A123" s="13" t="s">
        <v>120</v>
      </c>
      <c r="B123" s="13" t="s">
        <v>121</v>
      </c>
      <c r="C123" s="20" t="s">
        <v>1458</v>
      </c>
      <c r="D123" s="13" t="s">
        <v>122</v>
      </c>
      <c r="E123" s="13" t="s">
        <v>123</v>
      </c>
      <c r="F123" s="13" t="s">
        <v>125</v>
      </c>
      <c r="G123" s="21">
        <v>42037</v>
      </c>
      <c r="H123" s="13" t="s">
        <v>124</v>
      </c>
      <c r="I123" s="36"/>
      <c r="J123" s="15"/>
      <c r="K123" s="15"/>
      <c r="L123" s="15"/>
      <c r="M123" s="16"/>
      <c r="N123" s="1"/>
      <c r="O123" s="1"/>
      <c r="P123" s="1"/>
    </row>
    <row r="124" spans="1:16" x14ac:dyDescent="0.25">
      <c r="A124" s="13" t="s">
        <v>154</v>
      </c>
      <c r="B124" s="13" t="s">
        <v>155</v>
      </c>
      <c r="C124" s="20" t="s">
        <v>1458</v>
      </c>
      <c r="D124" s="13" t="s">
        <v>122</v>
      </c>
      <c r="E124" s="13" t="s">
        <v>156</v>
      </c>
      <c r="F124" s="13" t="s">
        <v>157</v>
      </c>
      <c r="G124" s="21">
        <v>42186</v>
      </c>
      <c r="H124" s="13" t="s">
        <v>121</v>
      </c>
      <c r="I124" s="36"/>
      <c r="J124" s="15"/>
      <c r="K124" s="15"/>
      <c r="L124" s="15"/>
      <c r="M124" s="16"/>
      <c r="N124" s="1"/>
      <c r="O124" s="1"/>
      <c r="P124" s="1"/>
    </row>
    <row r="125" spans="1:16" x14ac:dyDescent="0.25">
      <c r="A125" s="13" t="s">
        <v>325</v>
      </c>
      <c r="B125" s="13" t="s">
        <v>326</v>
      </c>
      <c r="C125" s="20" t="s">
        <v>1458</v>
      </c>
      <c r="D125" s="13" t="s">
        <v>122</v>
      </c>
      <c r="E125" s="13" t="s">
        <v>327</v>
      </c>
      <c r="F125" s="13" t="s">
        <v>157</v>
      </c>
      <c r="G125" s="21">
        <v>42471</v>
      </c>
      <c r="H125" s="13" t="s">
        <v>121</v>
      </c>
      <c r="I125" s="36"/>
      <c r="J125" s="15"/>
      <c r="K125" s="15"/>
      <c r="L125" s="15"/>
      <c r="M125" s="16"/>
      <c r="N125" s="1"/>
      <c r="O125" s="1"/>
      <c r="P125" s="1"/>
    </row>
    <row r="126" spans="1:16" x14ac:dyDescent="0.25">
      <c r="A126" s="13" t="s">
        <v>158</v>
      </c>
      <c r="B126" s="13" t="s">
        <v>159</v>
      </c>
      <c r="C126" s="20" t="s">
        <v>1458</v>
      </c>
      <c r="D126" s="13" t="s">
        <v>122</v>
      </c>
      <c r="E126" s="13" t="s">
        <v>160</v>
      </c>
      <c r="F126" s="13" t="s">
        <v>38</v>
      </c>
      <c r="G126" s="21">
        <v>42191</v>
      </c>
      <c r="H126" s="13" t="s">
        <v>161</v>
      </c>
      <c r="I126" s="36"/>
      <c r="J126" s="15"/>
      <c r="K126" s="15"/>
      <c r="L126" s="15"/>
      <c r="M126" s="16"/>
      <c r="N126" s="1"/>
      <c r="O126" s="1"/>
      <c r="P126" s="1"/>
    </row>
    <row r="127" spans="1:16" x14ac:dyDescent="0.25">
      <c r="A127" s="13" t="s">
        <v>169</v>
      </c>
      <c r="B127" s="13" t="s">
        <v>170</v>
      </c>
      <c r="C127" s="20" t="s">
        <v>1458</v>
      </c>
      <c r="D127" s="13" t="s">
        <v>122</v>
      </c>
      <c r="E127" s="13" t="s">
        <v>141</v>
      </c>
      <c r="F127" s="13" t="s">
        <v>125</v>
      </c>
      <c r="G127" s="21">
        <v>42198</v>
      </c>
      <c r="H127" s="13" t="s">
        <v>124</v>
      </c>
      <c r="I127" s="36"/>
      <c r="J127" s="15"/>
      <c r="K127" s="15"/>
      <c r="L127" s="15"/>
      <c r="M127" s="16"/>
      <c r="N127" s="1"/>
      <c r="O127" s="1"/>
      <c r="P127" s="1"/>
    </row>
    <row r="128" spans="1:16" x14ac:dyDescent="0.25">
      <c r="A128" s="13" t="s">
        <v>188</v>
      </c>
      <c r="B128" s="13" t="s">
        <v>161</v>
      </c>
      <c r="C128" s="20" t="s">
        <v>1458</v>
      </c>
      <c r="D128" s="13" t="s">
        <v>122</v>
      </c>
      <c r="E128" s="13" t="s">
        <v>140</v>
      </c>
      <c r="F128" s="13" t="s">
        <v>125</v>
      </c>
      <c r="G128" s="21">
        <v>42253</v>
      </c>
      <c r="H128" s="13" t="s">
        <v>124</v>
      </c>
      <c r="I128" s="36"/>
      <c r="J128" s="15"/>
      <c r="K128" s="15"/>
      <c r="L128" s="15"/>
      <c r="M128" s="16"/>
      <c r="N128" s="1"/>
      <c r="O128" s="1"/>
      <c r="P128" s="1"/>
    </row>
    <row r="129" spans="1:16" x14ac:dyDescent="0.25">
      <c r="A129" s="13" t="s">
        <v>196</v>
      </c>
      <c r="B129" s="13" t="s">
        <v>197</v>
      </c>
      <c r="C129" s="20" t="s">
        <v>1458</v>
      </c>
      <c r="D129" s="13" t="s">
        <v>122</v>
      </c>
      <c r="E129" s="13" t="s">
        <v>160</v>
      </c>
      <c r="F129" s="13" t="s">
        <v>38</v>
      </c>
      <c r="G129" s="21">
        <v>42261</v>
      </c>
      <c r="H129" s="13" t="s">
        <v>161</v>
      </c>
      <c r="I129" s="36"/>
      <c r="J129" s="15"/>
      <c r="K129" s="15"/>
      <c r="L129" s="15"/>
      <c r="M129" s="16"/>
      <c r="N129" s="1"/>
      <c r="O129" s="1"/>
      <c r="P129" s="1"/>
    </row>
    <row r="130" spans="1:16" x14ac:dyDescent="0.25">
      <c r="A130" s="13" t="s">
        <v>260</v>
      </c>
      <c r="B130" s="13" t="s">
        <v>261</v>
      </c>
      <c r="C130" s="20" t="s">
        <v>1458</v>
      </c>
      <c r="D130" s="13" t="s">
        <v>122</v>
      </c>
      <c r="E130" s="13" t="s">
        <v>160</v>
      </c>
      <c r="F130" s="13" t="s">
        <v>157</v>
      </c>
      <c r="G130" s="21">
        <v>42373</v>
      </c>
      <c r="H130" s="13" t="s">
        <v>161</v>
      </c>
      <c r="I130" s="36"/>
      <c r="J130" s="15"/>
      <c r="K130" s="15"/>
      <c r="L130" s="15"/>
      <c r="M130" s="16"/>
      <c r="N130" s="1"/>
      <c r="O130" s="1"/>
      <c r="P130" s="1"/>
    </row>
    <row r="131" spans="1:16" x14ac:dyDescent="0.25">
      <c r="A131" s="13" t="s">
        <v>292</v>
      </c>
      <c r="B131" s="13" t="s">
        <v>293</v>
      </c>
      <c r="C131" s="20" t="s">
        <v>1458</v>
      </c>
      <c r="D131" s="13" t="s">
        <v>122</v>
      </c>
      <c r="E131" s="13" t="s">
        <v>240</v>
      </c>
      <c r="F131" s="13" t="s">
        <v>157</v>
      </c>
      <c r="G131" s="21">
        <v>42443</v>
      </c>
      <c r="H131" s="13" t="s">
        <v>170</v>
      </c>
      <c r="I131" s="36"/>
      <c r="J131" s="15"/>
      <c r="K131" s="15"/>
      <c r="L131" s="15"/>
      <c r="M131" s="16"/>
      <c r="N131" s="1"/>
      <c r="O131" s="1"/>
      <c r="P131" s="1"/>
    </row>
    <row r="132" spans="1:16" x14ac:dyDescent="0.25">
      <c r="A132" s="13" t="s">
        <v>413</v>
      </c>
      <c r="B132" s="13" t="s">
        <v>414</v>
      </c>
      <c r="C132" s="20" t="s">
        <v>1458</v>
      </c>
      <c r="D132" s="13" t="s">
        <v>122</v>
      </c>
      <c r="E132" s="13" t="s">
        <v>240</v>
      </c>
      <c r="F132" s="13" t="s">
        <v>157</v>
      </c>
      <c r="G132" s="21">
        <v>42527</v>
      </c>
      <c r="H132" s="13" t="s">
        <v>170</v>
      </c>
      <c r="I132" s="36"/>
      <c r="J132" s="15"/>
      <c r="K132" s="15"/>
      <c r="L132" s="15"/>
      <c r="M132" s="16"/>
      <c r="N132" s="1"/>
      <c r="O132" s="1"/>
      <c r="P132" s="1"/>
    </row>
    <row r="133" spans="1:16" x14ac:dyDescent="0.25">
      <c r="A133" s="13" t="s">
        <v>573</v>
      </c>
      <c r="B133" s="13" t="s">
        <v>574</v>
      </c>
      <c r="C133" s="20" t="s">
        <v>1458</v>
      </c>
      <c r="D133" s="13" t="s">
        <v>122</v>
      </c>
      <c r="E133" s="13" t="s">
        <v>160</v>
      </c>
      <c r="F133" s="13" t="s">
        <v>157</v>
      </c>
      <c r="G133" s="21">
        <v>42667</v>
      </c>
      <c r="H133" s="13" t="s">
        <v>161</v>
      </c>
      <c r="I133" s="36"/>
      <c r="J133" s="15"/>
      <c r="K133" s="15"/>
      <c r="L133" s="15"/>
      <c r="M133" s="16"/>
      <c r="N133" s="1"/>
      <c r="O133" s="1"/>
      <c r="P133" s="1"/>
    </row>
    <row r="134" spans="1:16" x14ac:dyDescent="0.25">
      <c r="A134" s="13" t="s">
        <v>577</v>
      </c>
      <c r="B134" s="13" t="s">
        <v>578</v>
      </c>
      <c r="C134" s="20" t="s">
        <v>1458</v>
      </c>
      <c r="D134" s="13" t="s">
        <v>122</v>
      </c>
      <c r="E134" s="13" t="s">
        <v>240</v>
      </c>
      <c r="F134" s="13" t="s">
        <v>157</v>
      </c>
      <c r="G134" s="21">
        <v>42667</v>
      </c>
      <c r="H134" s="13" t="s">
        <v>170</v>
      </c>
      <c r="I134" s="36"/>
      <c r="J134" s="15"/>
      <c r="K134" s="15"/>
      <c r="L134" s="15"/>
      <c r="M134" s="16"/>
      <c r="N134" s="1"/>
      <c r="O134" s="1"/>
      <c r="P134" s="1"/>
    </row>
    <row r="135" spans="1:16" x14ac:dyDescent="0.25">
      <c r="A135" s="13" t="s">
        <v>641</v>
      </c>
      <c r="B135" s="13" t="s">
        <v>642</v>
      </c>
      <c r="C135" s="20" t="s">
        <v>1458</v>
      </c>
      <c r="D135" s="13" t="s">
        <v>122</v>
      </c>
      <c r="E135" s="13" t="s">
        <v>240</v>
      </c>
      <c r="F135" s="13" t="s">
        <v>157</v>
      </c>
      <c r="G135" s="21">
        <v>42725</v>
      </c>
      <c r="H135" s="13" t="s">
        <v>170</v>
      </c>
      <c r="I135" s="36"/>
      <c r="J135" s="15"/>
      <c r="K135" s="15"/>
      <c r="L135" s="15"/>
      <c r="M135" s="16"/>
      <c r="N135" s="1"/>
      <c r="O135" s="1"/>
      <c r="P135" s="1"/>
    </row>
    <row r="136" spans="1:16" x14ac:dyDescent="0.25">
      <c r="A136" s="13" t="s">
        <v>805</v>
      </c>
      <c r="B136" s="13" t="s">
        <v>806</v>
      </c>
      <c r="C136" s="20" t="s">
        <v>1458</v>
      </c>
      <c r="D136" s="13" t="s">
        <v>122</v>
      </c>
      <c r="E136" s="13" t="s">
        <v>140</v>
      </c>
      <c r="F136" s="13" t="s">
        <v>153</v>
      </c>
      <c r="G136" s="21">
        <v>42998</v>
      </c>
      <c r="H136" s="13" t="s">
        <v>124</v>
      </c>
      <c r="I136" s="36"/>
      <c r="J136" s="15"/>
      <c r="K136" s="15"/>
      <c r="L136" s="15"/>
      <c r="M136" s="16"/>
      <c r="N136" s="1"/>
      <c r="O136" s="1"/>
      <c r="P136" s="1"/>
    </row>
    <row r="137" spans="1:16" x14ac:dyDescent="0.25">
      <c r="A137" s="13" t="s">
        <v>840</v>
      </c>
      <c r="B137" s="13" t="s">
        <v>841</v>
      </c>
      <c r="C137" s="20" t="s">
        <v>1458</v>
      </c>
      <c r="D137" s="13" t="s">
        <v>122</v>
      </c>
      <c r="E137" s="13" t="s">
        <v>240</v>
      </c>
      <c r="F137" s="13" t="s">
        <v>157</v>
      </c>
      <c r="G137" s="21">
        <v>43031</v>
      </c>
      <c r="H137" s="13" t="s">
        <v>170</v>
      </c>
      <c r="I137" s="36"/>
      <c r="J137" s="15"/>
      <c r="K137" s="15"/>
      <c r="L137" s="15"/>
      <c r="M137" s="16"/>
      <c r="N137" s="1"/>
      <c r="O137" s="1"/>
      <c r="P137" s="1"/>
    </row>
    <row r="138" spans="1:16" x14ac:dyDescent="0.25">
      <c r="A138" s="13" t="s">
        <v>848</v>
      </c>
      <c r="B138" s="13" t="s">
        <v>849</v>
      </c>
      <c r="C138" s="20" t="s">
        <v>1458</v>
      </c>
      <c r="D138" s="13" t="s">
        <v>122</v>
      </c>
      <c r="E138" s="13" t="s">
        <v>240</v>
      </c>
      <c r="F138" s="13" t="s">
        <v>157</v>
      </c>
      <c r="G138" s="21">
        <v>43038</v>
      </c>
      <c r="H138" s="13" t="s">
        <v>170</v>
      </c>
      <c r="I138" s="36"/>
      <c r="J138" s="15"/>
      <c r="K138" s="15"/>
      <c r="L138" s="15"/>
      <c r="M138" s="16"/>
      <c r="N138" s="1"/>
      <c r="O138" s="1"/>
      <c r="P138" s="1"/>
    </row>
    <row r="139" spans="1:16" x14ac:dyDescent="0.25">
      <c r="A139" s="13" t="s">
        <v>901</v>
      </c>
      <c r="B139" s="13" t="s">
        <v>902</v>
      </c>
      <c r="C139" s="20" t="s">
        <v>1458</v>
      </c>
      <c r="D139" s="13" t="s">
        <v>122</v>
      </c>
      <c r="E139" s="13" t="s">
        <v>240</v>
      </c>
      <c r="F139" s="13" t="s">
        <v>157</v>
      </c>
      <c r="G139" s="21">
        <v>43187</v>
      </c>
      <c r="H139" s="13" t="s">
        <v>170</v>
      </c>
      <c r="I139" s="36"/>
      <c r="J139" s="15"/>
      <c r="K139" s="15"/>
      <c r="L139" s="15"/>
      <c r="M139" s="16"/>
      <c r="N139" s="1"/>
      <c r="O139" s="1"/>
      <c r="P139" s="1"/>
    </row>
    <row r="140" spans="1:16" x14ac:dyDescent="0.25">
      <c r="A140" s="13" t="s">
        <v>717</v>
      </c>
      <c r="B140" s="13" t="s">
        <v>124</v>
      </c>
      <c r="C140" s="20" t="s">
        <v>1458</v>
      </c>
      <c r="D140" s="13" t="s">
        <v>122</v>
      </c>
      <c r="E140" s="13" t="s">
        <v>718</v>
      </c>
      <c r="F140" s="13" t="s">
        <v>47</v>
      </c>
      <c r="G140" s="21">
        <v>42842</v>
      </c>
      <c r="H140" s="13" t="s">
        <v>62</v>
      </c>
      <c r="I140" s="36"/>
      <c r="J140" s="15"/>
      <c r="K140" s="15"/>
      <c r="L140" s="15"/>
      <c r="M140" s="16"/>
      <c r="N140" s="1"/>
      <c r="O140" s="1"/>
      <c r="P140" s="1"/>
    </row>
    <row r="141" spans="1:16" x14ac:dyDescent="0.25">
      <c r="A141" s="13" t="s">
        <v>499</v>
      </c>
      <c r="B141" s="13" t="s">
        <v>500</v>
      </c>
      <c r="C141" s="20" t="s">
        <v>1458</v>
      </c>
      <c r="D141" s="13" t="s">
        <v>364</v>
      </c>
      <c r="E141" s="13" t="s">
        <v>501</v>
      </c>
      <c r="F141" s="13" t="s">
        <v>24</v>
      </c>
      <c r="G141" s="21">
        <v>42604</v>
      </c>
      <c r="H141" s="13" t="s">
        <v>62</v>
      </c>
      <c r="I141" s="36"/>
      <c r="J141" s="15"/>
      <c r="K141" s="15"/>
      <c r="L141" s="15"/>
      <c r="M141" s="16"/>
      <c r="N141" s="1"/>
      <c r="O141" s="1"/>
      <c r="P141" s="1"/>
    </row>
    <row r="142" spans="1:16" x14ac:dyDescent="0.25">
      <c r="A142" s="13" t="s">
        <v>709</v>
      </c>
      <c r="B142" s="13" t="s">
        <v>710</v>
      </c>
      <c r="C142" s="20" t="s">
        <v>1458</v>
      </c>
      <c r="D142" s="13" t="s">
        <v>364</v>
      </c>
      <c r="E142" s="13" t="s">
        <v>651</v>
      </c>
      <c r="F142" s="13" t="s">
        <v>80</v>
      </c>
      <c r="G142" s="21">
        <v>42835</v>
      </c>
      <c r="H142" s="13" t="s">
        <v>500</v>
      </c>
      <c r="I142" s="36"/>
      <c r="J142" s="15"/>
      <c r="K142" s="15"/>
      <c r="L142" s="15"/>
      <c r="M142" s="16"/>
      <c r="N142" s="1"/>
      <c r="O142" s="1"/>
      <c r="P142" s="1"/>
    </row>
    <row r="143" spans="1:16" x14ac:dyDescent="0.25">
      <c r="A143" s="13" t="s">
        <v>793</v>
      </c>
      <c r="B143" s="13" t="s">
        <v>794</v>
      </c>
      <c r="C143" s="20" t="s">
        <v>1458</v>
      </c>
      <c r="D143" s="13" t="s">
        <v>364</v>
      </c>
      <c r="E143" s="13" t="s">
        <v>651</v>
      </c>
      <c r="F143" s="13" t="s">
        <v>80</v>
      </c>
      <c r="G143" s="21">
        <v>42977</v>
      </c>
      <c r="H143" s="13" t="s">
        <v>500</v>
      </c>
      <c r="I143" s="36"/>
      <c r="J143" s="15"/>
      <c r="K143" s="15"/>
      <c r="L143" s="15"/>
      <c r="M143" s="16"/>
      <c r="N143" s="1"/>
      <c r="O143" s="1"/>
      <c r="P143" s="1"/>
    </row>
    <row r="144" spans="1:16" x14ac:dyDescent="0.25">
      <c r="A144" s="13" t="s">
        <v>1052</v>
      </c>
      <c r="B144" s="13" t="s">
        <v>1053</v>
      </c>
      <c r="C144" s="20" t="s">
        <v>1458</v>
      </c>
      <c r="D144" s="13" t="s">
        <v>364</v>
      </c>
      <c r="E144" s="13" t="s">
        <v>939</v>
      </c>
      <c r="F144" s="13" t="s">
        <v>12</v>
      </c>
      <c r="G144" s="21">
        <v>43264</v>
      </c>
      <c r="H144" s="13" t="s">
        <v>500</v>
      </c>
      <c r="I144" s="36"/>
      <c r="J144" s="15"/>
      <c r="K144" s="15"/>
      <c r="L144" s="15"/>
      <c r="M144" s="16"/>
      <c r="N144" s="1"/>
      <c r="O144" s="1"/>
      <c r="P144" s="1"/>
    </row>
    <row r="145" spans="1:16" x14ac:dyDescent="0.25">
      <c r="A145" s="13" t="s">
        <v>1366</v>
      </c>
      <c r="B145" s="13" t="s">
        <v>1367</v>
      </c>
      <c r="C145" s="20" t="s">
        <v>1458</v>
      </c>
      <c r="D145" s="13" t="s">
        <v>364</v>
      </c>
      <c r="E145" s="13" t="s">
        <v>64</v>
      </c>
      <c r="F145" s="13"/>
      <c r="G145" s="21">
        <v>43374</v>
      </c>
      <c r="H145" s="13" t="s">
        <v>500</v>
      </c>
      <c r="I145" s="36"/>
      <c r="J145" s="15"/>
      <c r="K145" s="15"/>
      <c r="L145" s="15"/>
      <c r="M145" s="16"/>
      <c r="N145" s="1"/>
      <c r="O145" s="1"/>
      <c r="P145" s="1"/>
    </row>
    <row r="146" spans="1:16" x14ac:dyDescent="0.25">
      <c r="A146" s="13" t="s">
        <v>247</v>
      </c>
      <c r="B146" s="13" t="s">
        <v>248</v>
      </c>
      <c r="C146" s="20" t="s">
        <v>1458</v>
      </c>
      <c r="D146" s="13" t="s">
        <v>249</v>
      </c>
      <c r="E146" s="13" t="s">
        <v>250</v>
      </c>
      <c r="F146" s="13" t="s">
        <v>38</v>
      </c>
      <c r="G146" s="21">
        <v>42339</v>
      </c>
      <c r="H146" s="13" t="s">
        <v>251</v>
      </c>
      <c r="I146" s="36"/>
      <c r="J146" s="15"/>
      <c r="K146" s="15"/>
      <c r="L146" s="15"/>
      <c r="M146" s="16"/>
      <c r="N146" s="1"/>
      <c r="O146" s="1"/>
      <c r="P146" s="1"/>
    </row>
    <row r="147" spans="1:16" x14ac:dyDescent="0.25">
      <c r="A147" s="13" t="s">
        <v>301</v>
      </c>
      <c r="B147" s="13" t="s">
        <v>302</v>
      </c>
      <c r="C147" s="20" t="s">
        <v>1458</v>
      </c>
      <c r="D147" s="13" t="s">
        <v>249</v>
      </c>
      <c r="E147" s="13" t="s">
        <v>303</v>
      </c>
      <c r="F147" s="13" t="s">
        <v>157</v>
      </c>
      <c r="G147" s="21">
        <v>42450</v>
      </c>
      <c r="H147" s="13" t="s">
        <v>304</v>
      </c>
      <c r="I147" s="36"/>
      <c r="J147" s="15"/>
      <c r="K147" s="15"/>
      <c r="L147" s="15"/>
      <c r="M147" s="16"/>
      <c r="N147" s="1"/>
      <c r="O147" s="1"/>
      <c r="P147" s="1"/>
    </row>
    <row r="148" spans="1:16" x14ac:dyDescent="0.25">
      <c r="A148" s="13" t="s">
        <v>321</v>
      </c>
      <c r="B148" s="13" t="s">
        <v>322</v>
      </c>
      <c r="C148" s="20" t="s">
        <v>1458</v>
      </c>
      <c r="D148" s="13" t="s">
        <v>249</v>
      </c>
      <c r="E148" s="13" t="s">
        <v>250</v>
      </c>
      <c r="F148" s="13" t="s">
        <v>157</v>
      </c>
      <c r="G148" s="21">
        <v>42461</v>
      </c>
      <c r="H148" s="13" t="s">
        <v>251</v>
      </c>
      <c r="I148" s="36"/>
      <c r="J148" s="15"/>
      <c r="K148" s="15"/>
      <c r="L148" s="15"/>
      <c r="M148" s="16"/>
      <c r="N148" s="1"/>
      <c r="O148" s="1"/>
      <c r="P148" s="1"/>
    </row>
    <row r="149" spans="1:16" x14ac:dyDescent="0.25">
      <c r="A149" s="13" t="s">
        <v>374</v>
      </c>
      <c r="B149" s="13" t="s">
        <v>375</v>
      </c>
      <c r="C149" s="20" t="s">
        <v>1458</v>
      </c>
      <c r="D149" s="13" t="s">
        <v>249</v>
      </c>
      <c r="E149" s="13" t="s">
        <v>204</v>
      </c>
      <c r="F149" s="13" t="s">
        <v>38</v>
      </c>
      <c r="G149" s="21">
        <v>42506</v>
      </c>
      <c r="H149" s="13" t="s">
        <v>376</v>
      </c>
      <c r="I149" s="36"/>
      <c r="J149" s="15"/>
      <c r="K149" s="15"/>
      <c r="L149" s="15"/>
      <c r="M149" s="16"/>
      <c r="N149" s="1"/>
      <c r="O149" s="1"/>
      <c r="P149" s="1"/>
    </row>
    <row r="150" spans="1:16" x14ac:dyDescent="0.25">
      <c r="A150" s="13" t="s">
        <v>381</v>
      </c>
      <c r="B150" s="13" t="s">
        <v>382</v>
      </c>
      <c r="C150" s="20" t="s">
        <v>1458</v>
      </c>
      <c r="D150" s="13" t="s">
        <v>249</v>
      </c>
      <c r="E150" s="13" t="s">
        <v>383</v>
      </c>
      <c r="F150" s="13" t="s">
        <v>38</v>
      </c>
      <c r="G150" s="21">
        <v>42513</v>
      </c>
      <c r="H150" s="13" t="s">
        <v>384</v>
      </c>
      <c r="I150" s="36"/>
      <c r="J150" s="15"/>
      <c r="K150" s="15"/>
      <c r="L150" s="15"/>
      <c r="M150" s="16"/>
      <c r="N150" s="1"/>
      <c r="O150" s="1"/>
      <c r="P150" s="1"/>
    </row>
    <row r="151" spans="1:16" x14ac:dyDescent="0.25">
      <c r="A151" s="13" t="s">
        <v>385</v>
      </c>
      <c r="B151" s="13" t="s">
        <v>304</v>
      </c>
      <c r="C151" s="20" t="s">
        <v>1458</v>
      </c>
      <c r="D151" s="13" t="s">
        <v>249</v>
      </c>
      <c r="E151" s="13" t="s">
        <v>386</v>
      </c>
      <c r="F151" s="13" t="s">
        <v>125</v>
      </c>
      <c r="G151" s="21">
        <v>42513</v>
      </c>
      <c r="H151" s="13" t="s">
        <v>251</v>
      </c>
      <c r="I151" s="36"/>
      <c r="J151" s="15"/>
      <c r="K151" s="15"/>
      <c r="L151" s="15"/>
      <c r="M151" s="16"/>
      <c r="N151" s="1"/>
      <c r="O151" s="1"/>
      <c r="P151" s="1"/>
    </row>
    <row r="152" spans="1:16" x14ac:dyDescent="0.25">
      <c r="A152" s="13" t="s">
        <v>419</v>
      </c>
      <c r="B152" s="13" t="s">
        <v>384</v>
      </c>
      <c r="C152" s="20" t="s">
        <v>1458</v>
      </c>
      <c r="D152" s="13" t="s">
        <v>249</v>
      </c>
      <c r="E152" s="13" t="s">
        <v>420</v>
      </c>
      <c r="F152" s="13" t="s">
        <v>125</v>
      </c>
      <c r="G152" s="21">
        <v>42534</v>
      </c>
      <c r="H152" s="13" t="s">
        <v>421</v>
      </c>
      <c r="I152" s="36"/>
      <c r="J152" s="15"/>
      <c r="K152" s="15"/>
      <c r="L152" s="15"/>
      <c r="M152" s="16"/>
      <c r="N152" s="1"/>
      <c r="O152" s="1"/>
      <c r="P152" s="1"/>
    </row>
    <row r="153" spans="1:16" x14ac:dyDescent="0.25">
      <c r="A153" s="13" t="s">
        <v>422</v>
      </c>
      <c r="B153" s="13" t="s">
        <v>421</v>
      </c>
      <c r="C153" s="20" t="s">
        <v>1458</v>
      </c>
      <c r="D153" s="13" t="s">
        <v>249</v>
      </c>
      <c r="E153" s="13" t="s">
        <v>423</v>
      </c>
      <c r="F153" s="13" t="s">
        <v>153</v>
      </c>
      <c r="G153" s="21">
        <v>42534</v>
      </c>
      <c r="H153" s="13" t="s">
        <v>358</v>
      </c>
      <c r="I153" s="36"/>
      <c r="J153" s="15"/>
      <c r="K153" s="15"/>
      <c r="L153" s="15"/>
      <c r="M153" s="16"/>
      <c r="N153" s="1"/>
      <c r="O153" s="1"/>
      <c r="P153" s="1"/>
    </row>
    <row r="154" spans="1:16" x14ac:dyDescent="0.25">
      <c r="A154" s="13" t="s">
        <v>439</v>
      </c>
      <c r="B154" s="13" t="s">
        <v>440</v>
      </c>
      <c r="C154" s="20" t="s">
        <v>1458</v>
      </c>
      <c r="D154" s="13" t="s">
        <v>249</v>
      </c>
      <c r="E154" s="13" t="s">
        <v>441</v>
      </c>
      <c r="F154" s="13" t="s">
        <v>38</v>
      </c>
      <c r="G154" s="21">
        <v>42555</v>
      </c>
      <c r="H154" s="13" t="s">
        <v>376</v>
      </c>
      <c r="I154" s="36"/>
      <c r="J154" s="15"/>
      <c r="K154" s="15"/>
      <c r="L154" s="15"/>
      <c r="M154" s="16"/>
      <c r="N154" s="1"/>
      <c r="O154" s="1"/>
      <c r="P154" s="1"/>
    </row>
    <row r="155" spans="1:16" x14ac:dyDescent="0.25">
      <c r="A155" s="13" t="s">
        <v>479</v>
      </c>
      <c r="B155" s="13" t="s">
        <v>480</v>
      </c>
      <c r="C155" s="20" t="s">
        <v>1458</v>
      </c>
      <c r="D155" s="13" t="s">
        <v>249</v>
      </c>
      <c r="E155" s="13" t="s">
        <v>481</v>
      </c>
      <c r="F155" s="13" t="s">
        <v>157</v>
      </c>
      <c r="G155" s="21">
        <v>42578</v>
      </c>
      <c r="H155" s="13" t="s">
        <v>421</v>
      </c>
      <c r="I155" s="36"/>
      <c r="J155" s="15"/>
      <c r="K155" s="15"/>
      <c r="L155" s="15"/>
      <c r="M155" s="16"/>
      <c r="N155" s="1"/>
      <c r="O155" s="1"/>
      <c r="P155" s="1"/>
    </row>
    <row r="156" spans="1:16" x14ac:dyDescent="0.25">
      <c r="A156" s="13" t="s">
        <v>483</v>
      </c>
      <c r="B156" s="13" t="s">
        <v>484</v>
      </c>
      <c r="C156" s="20" t="s">
        <v>1458</v>
      </c>
      <c r="D156" s="13" t="s">
        <v>249</v>
      </c>
      <c r="E156" s="13" t="s">
        <v>441</v>
      </c>
      <c r="F156" s="13" t="s">
        <v>157</v>
      </c>
      <c r="G156" s="21">
        <v>42583</v>
      </c>
      <c r="H156" s="13" t="s">
        <v>376</v>
      </c>
      <c r="I156" s="36"/>
      <c r="J156" s="15"/>
      <c r="K156" s="15"/>
      <c r="L156" s="15"/>
      <c r="M156" s="16"/>
      <c r="N156" s="1"/>
      <c r="O156" s="1"/>
      <c r="P156" s="1"/>
    </row>
    <row r="157" spans="1:16" x14ac:dyDescent="0.25">
      <c r="A157" s="13" t="s">
        <v>485</v>
      </c>
      <c r="B157" s="13" t="s">
        <v>376</v>
      </c>
      <c r="C157" s="20" t="s">
        <v>1458</v>
      </c>
      <c r="D157" s="13" t="s">
        <v>249</v>
      </c>
      <c r="E157" s="13" t="s">
        <v>486</v>
      </c>
      <c r="F157" s="13" t="s">
        <v>38</v>
      </c>
      <c r="G157" s="21">
        <v>42583</v>
      </c>
      <c r="H157" s="13" t="s">
        <v>421</v>
      </c>
      <c r="I157" s="36"/>
      <c r="J157" s="15"/>
      <c r="K157" s="15"/>
      <c r="L157" s="15"/>
      <c r="M157" s="16"/>
      <c r="N157" s="1"/>
      <c r="O157" s="1"/>
      <c r="P157" s="1"/>
    </row>
    <row r="158" spans="1:16" x14ac:dyDescent="0.25">
      <c r="A158" s="13" t="s">
        <v>624</v>
      </c>
      <c r="B158" s="13" t="s">
        <v>625</v>
      </c>
      <c r="C158" s="20" t="s">
        <v>1458</v>
      </c>
      <c r="D158" s="13" t="s">
        <v>249</v>
      </c>
      <c r="E158" s="13" t="s">
        <v>626</v>
      </c>
      <c r="F158" s="13" t="s">
        <v>157</v>
      </c>
      <c r="G158" s="21">
        <v>42711</v>
      </c>
      <c r="H158" s="13" t="s">
        <v>480</v>
      </c>
      <c r="I158" s="36"/>
      <c r="J158" s="15"/>
      <c r="K158" s="15"/>
      <c r="L158" s="15"/>
      <c r="M158" s="16"/>
      <c r="N158" s="1"/>
      <c r="O158" s="1"/>
      <c r="P158" s="1"/>
    </row>
    <row r="159" spans="1:16" x14ac:dyDescent="0.25">
      <c r="A159" s="13" t="s">
        <v>629</v>
      </c>
      <c r="B159" s="13" t="s">
        <v>630</v>
      </c>
      <c r="C159" s="20" t="s">
        <v>1458</v>
      </c>
      <c r="D159" s="13" t="s">
        <v>249</v>
      </c>
      <c r="E159" s="13" t="s">
        <v>441</v>
      </c>
      <c r="F159" s="13" t="s">
        <v>157</v>
      </c>
      <c r="G159" s="21">
        <v>42716</v>
      </c>
      <c r="H159" s="13" t="s">
        <v>376</v>
      </c>
      <c r="I159" s="36"/>
      <c r="J159" s="15"/>
      <c r="K159" s="15"/>
      <c r="L159" s="15"/>
      <c r="M159" s="16"/>
      <c r="N159" s="1"/>
      <c r="O159" s="1"/>
      <c r="P159" s="1"/>
    </row>
    <row r="160" spans="1:16" x14ac:dyDescent="0.25">
      <c r="A160" s="13" t="s">
        <v>777</v>
      </c>
      <c r="B160" s="13" t="s">
        <v>778</v>
      </c>
      <c r="C160" s="20" t="s">
        <v>1458</v>
      </c>
      <c r="D160" s="13" t="s">
        <v>249</v>
      </c>
      <c r="E160" s="13" t="s">
        <v>441</v>
      </c>
      <c r="F160" s="13" t="s">
        <v>157</v>
      </c>
      <c r="G160" s="21">
        <v>42961</v>
      </c>
      <c r="H160" s="13" t="s">
        <v>376</v>
      </c>
      <c r="I160" s="36"/>
      <c r="J160" s="15"/>
      <c r="K160" s="15"/>
      <c r="L160" s="15"/>
      <c r="M160" s="16"/>
      <c r="N160" s="1"/>
      <c r="O160" s="1"/>
      <c r="P160" s="1"/>
    </row>
    <row r="161" spans="1:16" x14ac:dyDescent="0.25">
      <c r="A161" s="13" t="s">
        <v>786</v>
      </c>
      <c r="B161" s="13" t="s">
        <v>787</v>
      </c>
      <c r="C161" s="20" t="s">
        <v>1458</v>
      </c>
      <c r="D161" s="13" t="s">
        <v>249</v>
      </c>
      <c r="E161" s="13" t="s">
        <v>250</v>
      </c>
      <c r="F161" s="13" t="s">
        <v>157</v>
      </c>
      <c r="G161" s="21">
        <v>42968</v>
      </c>
      <c r="H161" s="13" t="s">
        <v>251</v>
      </c>
      <c r="I161" s="36"/>
      <c r="J161" s="15"/>
      <c r="K161" s="15"/>
      <c r="L161" s="15"/>
      <c r="M161" s="16"/>
      <c r="N161" s="1"/>
      <c r="O161" s="1"/>
      <c r="P161" s="1"/>
    </row>
    <row r="162" spans="1:16" x14ac:dyDescent="0.25">
      <c r="A162" s="13" t="s">
        <v>817</v>
      </c>
      <c r="B162" s="13" t="s">
        <v>818</v>
      </c>
      <c r="C162" s="20" t="s">
        <v>1458</v>
      </c>
      <c r="D162" s="13" t="s">
        <v>249</v>
      </c>
      <c r="E162" s="13" t="s">
        <v>303</v>
      </c>
      <c r="F162" s="13" t="s">
        <v>157</v>
      </c>
      <c r="G162" s="21">
        <v>43003</v>
      </c>
      <c r="H162" s="13" t="s">
        <v>304</v>
      </c>
      <c r="I162" s="36"/>
      <c r="J162" s="15"/>
      <c r="K162" s="15"/>
      <c r="L162" s="15"/>
      <c r="M162" s="16"/>
      <c r="N162" s="1"/>
      <c r="O162" s="1"/>
      <c r="P162" s="1"/>
    </row>
    <row r="163" spans="1:16" x14ac:dyDescent="0.25">
      <c r="A163" s="13" t="s">
        <v>878</v>
      </c>
      <c r="B163" s="13" t="s">
        <v>879</v>
      </c>
      <c r="C163" s="20" t="s">
        <v>1458</v>
      </c>
      <c r="D163" s="13" t="s">
        <v>249</v>
      </c>
      <c r="E163" s="13" t="s">
        <v>303</v>
      </c>
      <c r="F163" s="13" t="s">
        <v>38</v>
      </c>
      <c r="G163" s="21">
        <v>43131</v>
      </c>
      <c r="H163" s="13" t="s">
        <v>304</v>
      </c>
      <c r="I163" s="36"/>
      <c r="J163" s="15"/>
      <c r="K163" s="15"/>
      <c r="L163" s="15"/>
      <c r="M163" s="16"/>
      <c r="N163" s="1"/>
      <c r="O163" s="1"/>
      <c r="P163" s="1"/>
    </row>
    <row r="164" spans="1:16" x14ac:dyDescent="0.25">
      <c r="A164" s="13" t="s">
        <v>961</v>
      </c>
      <c r="B164" s="13" t="s">
        <v>962</v>
      </c>
      <c r="C164" s="20" t="s">
        <v>1458</v>
      </c>
      <c r="D164" s="13" t="s">
        <v>249</v>
      </c>
      <c r="E164" s="13" t="s">
        <v>383</v>
      </c>
      <c r="F164" s="13" t="s">
        <v>157</v>
      </c>
      <c r="G164" s="21">
        <v>43222</v>
      </c>
      <c r="H164" s="13" t="s">
        <v>384</v>
      </c>
      <c r="I164" s="36"/>
      <c r="J164" s="15"/>
      <c r="K164" s="15"/>
      <c r="L164" s="15"/>
      <c r="M164" s="16"/>
      <c r="N164" s="1"/>
      <c r="O164" s="1"/>
      <c r="P164" s="1"/>
    </row>
    <row r="165" spans="1:16" x14ac:dyDescent="0.25">
      <c r="A165" s="13" t="s">
        <v>1186</v>
      </c>
      <c r="B165" s="13" t="s">
        <v>251</v>
      </c>
      <c r="C165" s="20" t="s">
        <v>1458</v>
      </c>
      <c r="D165" s="13" t="s">
        <v>249</v>
      </c>
      <c r="E165" s="13" t="s">
        <v>1187</v>
      </c>
      <c r="F165" s="13" t="s">
        <v>157</v>
      </c>
      <c r="G165" s="21">
        <v>43325</v>
      </c>
      <c r="H165" s="13" t="s">
        <v>421</v>
      </c>
      <c r="I165" s="36"/>
      <c r="J165" s="15"/>
      <c r="K165" s="15"/>
      <c r="L165" s="15"/>
      <c r="M165" s="16"/>
      <c r="N165" s="1"/>
      <c r="O165" s="1"/>
      <c r="P165" s="1"/>
    </row>
    <row r="166" spans="1:16" x14ac:dyDescent="0.25">
      <c r="A166" s="13" t="s">
        <v>1282</v>
      </c>
      <c r="B166" s="13" t="s">
        <v>1283</v>
      </c>
      <c r="C166" s="20" t="s">
        <v>1458</v>
      </c>
      <c r="D166" s="13" t="s">
        <v>249</v>
      </c>
      <c r="E166" s="13" t="s">
        <v>1284</v>
      </c>
      <c r="F166" s="13" t="s">
        <v>38</v>
      </c>
      <c r="G166" s="21">
        <v>43402</v>
      </c>
      <c r="H166" s="13" t="s">
        <v>251</v>
      </c>
      <c r="I166" s="36"/>
      <c r="J166" s="15"/>
      <c r="K166" s="15"/>
      <c r="L166" s="15"/>
      <c r="M166" s="16"/>
      <c r="N166" s="1"/>
      <c r="O166" s="1"/>
      <c r="P166" s="1"/>
    </row>
    <row r="167" spans="1:16" x14ac:dyDescent="0.25">
      <c r="A167" s="13" t="s">
        <v>1309</v>
      </c>
      <c r="B167" s="13" t="s">
        <v>1310</v>
      </c>
      <c r="C167" s="20" t="s">
        <v>1458</v>
      </c>
      <c r="D167" s="13" t="s">
        <v>249</v>
      </c>
      <c r="E167" s="13" t="s">
        <v>303</v>
      </c>
      <c r="F167" s="13" t="s">
        <v>157</v>
      </c>
      <c r="G167" s="21">
        <v>43418</v>
      </c>
      <c r="H167" s="13" t="s">
        <v>389</v>
      </c>
      <c r="I167" s="36"/>
      <c r="J167" s="15"/>
      <c r="K167" s="15"/>
      <c r="L167" s="15"/>
      <c r="M167" s="16"/>
      <c r="N167" s="1"/>
      <c r="O167" s="1"/>
      <c r="P167" s="1"/>
    </row>
    <row r="168" spans="1:16" x14ac:dyDescent="0.25">
      <c r="A168" s="13" t="s">
        <v>1491</v>
      </c>
      <c r="B168" s="13" t="s">
        <v>1492</v>
      </c>
      <c r="C168" s="20" t="s">
        <v>1458</v>
      </c>
      <c r="D168" s="13" t="s">
        <v>249</v>
      </c>
      <c r="E168" s="13" t="s">
        <v>1493</v>
      </c>
      <c r="F168" s="13" t="s">
        <v>38</v>
      </c>
      <c r="G168" s="21">
        <v>43518</v>
      </c>
      <c r="H168" s="13" t="s">
        <v>358</v>
      </c>
      <c r="I168" s="36"/>
      <c r="J168" s="15"/>
      <c r="K168" s="15"/>
      <c r="L168" s="15"/>
      <c r="M168" s="16"/>
      <c r="N168" s="1"/>
      <c r="O168" s="1"/>
      <c r="P168" s="1"/>
    </row>
    <row r="169" spans="1:16" x14ac:dyDescent="0.25">
      <c r="A169" s="13" t="s">
        <v>387</v>
      </c>
      <c r="B169" s="13" t="s">
        <v>388</v>
      </c>
      <c r="C169" s="20" t="s">
        <v>1458</v>
      </c>
      <c r="D169" s="13" t="s">
        <v>249</v>
      </c>
      <c r="E169" s="13" t="s">
        <v>1421</v>
      </c>
      <c r="F169" s="13" t="s">
        <v>125</v>
      </c>
      <c r="G169" s="21">
        <v>42513</v>
      </c>
      <c r="H169" s="13" t="s">
        <v>389</v>
      </c>
      <c r="I169" s="36"/>
      <c r="J169" s="15"/>
      <c r="K169" s="15"/>
      <c r="L169" s="15"/>
      <c r="M169" s="16"/>
      <c r="N169" s="1"/>
      <c r="O169" s="1"/>
      <c r="P169" s="1"/>
    </row>
    <row r="170" spans="1:16" x14ac:dyDescent="0.25">
      <c r="A170" s="13" t="s">
        <v>392</v>
      </c>
      <c r="B170" s="13" t="s">
        <v>389</v>
      </c>
      <c r="C170" s="20" t="s">
        <v>1458</v>
      </c>
      <c r="D170" s="13" t="s">
        <v>249</v>
      </c>
      <c r="E170" s="13" t="s">
        <v>1427</v>
      </c>
      <c r="F170" s="13" t="s">
        <v>38</v>
      </c>
      <c r="G170" s="21">
        <v>42520</v>
      </c>
      <c r="H170" s="13" t="s">
        <v>358</v>
      </c>
      <c r="I170" s="36"/>
      <c r="J170" s="15"/>
      <c r="K170" s="15"/>
      <c r="L170" s="15"/>
      <c r="M170" s="16"/>
      <c r="N170" s="1"/>
      <c r="O170" s="1"/>
      <c r="P170" s="1"/>
    </row>
    <row r="171" spans="1:16" x14ac:dyDescent="0.25">
      <c r="A171" s="13" t="s">
        <v>409</v>
      </c>
      <c r="B171" s="13" t="s">
        <v>410</v>
      </c>
      <c r="C171" s="20" t="s">
        <v>1458</v>
      </c>
      <c r="D171" s="13" t="s">
        <v>249</v>
      </c>
      <c r="E171" s="13" t="s">
        <v>411</v>
      </c>
      <c r="F171" s="13" t="s">
        <v>157</v>
      </c>
      <c r="G171" s="21">
        <v>42527</v>
      </c>
      <c r="H171" s="13" t="s">
        <v>412</v>
      </c>
      <c r="I171" s="36"/>
      <c r="J171" s="15"/>
      <c r="K171" s="15"/>
      <c r="L171" s="15"/>
      <c r="M171" s="16"/>
      <c r="N171" s="1"/>
      <c r="O171" s="1"/>
      <c r="P171" s="1"/>
    </row>
    <row r="172" spans="1:16" x14ac:dyDescent="0.25">
      <c r="A172" s="13" t="s">
        <v>438</v>
      </c>
      <c r="B172" s="13" t="s">
        <v>412</v>
      </c>
      <c r="C172" s="20" t="s">
        <v>1458</v>
      </c>
      <c r="D172" s="13" t="s">
        <v>249</v>
      </c>
      <c r="E172" s="13" t="s">
        <v>1422</v>
      </c>
      <c r="F172" s="13" t="s">
        <v>38</v>
      </c>
      <c r="G172" s="21">
        <v>42555</v>
      </c>
      <c r="H172" s="13" t="s">
        <v>389</v>
      </c>
      <c r="I172" s="36"/>
      <c r="J172" s="15"/>
      <c r="K172" s="15"/>
      <c r="L172" s="15"/>
      <c r="M172" s="16"/>
      <c r="N172" s="1"/>
      <c r="O172" s="1"/>
      <c r="P172" s="1"/>
    </row>
    <row r="173" spans="1:16" x14ac:dyDescent="0.25">
      <c r="A173" s="13" t="s">
        <v>452</v>
      </c>
      <c r="B173" s="13" t="s">
        <v>453</v>
      </c>
      <c r="C173" s="20" t="s">
        <v>1458</v>
      </c>
      <c r="D173" s="13" t="s">
        <v>249</v>
      </c>
      <c r="E173" s="13" t="s">
        <v>1423</v>
      </c>
      <c r="F173" s="13" t="s">
        <v>157</v>
      </c>
      <c r="G173" s="21">
        <v>42562</v>
      </c>
      <c r="H173" s="13" t="s">
        <v>389</v>
      </c>
      <c r="I173" s="36"/>
      <c r="J173" s="15"/>
      <c r="K173" s="15"/>
      <c r="L173" s="15"/>
      <c r="M173" s="16"/>
      <c r="N173" s="1"/>
      <c r="O173" s="1"/>
      <c r="P173" s="1"/>
    </row>
    <row r="174" spans="1:16" x14ac:dyDescent="0.25">
      <c r="A174" s="13" t="s">
        <v>458</v>
      </c>
      <c r="B174" s="13" t="s">
        <v>459</v>
      </c>
      <c r="C174" s="20" t="s">
        <v>1458</v>
      </c>
      <c r="D174" s="13" t="s">
        <v>249</v>
      </c>
      <c r="E174" s="13" t="s">
        <v>411</v>
      </c>
      <c r="F174" s="13" t="s">
        <v>38</v>
      </c>
      <c r="G174" s="21">
        <v>42569</v>
      </c>
      <c r="H174" s="13" t="s">
        <v>460</v>
      </c>
      <c r="I174" s="36"/>
      <c r="J174" s="15"/>
      <c r="K174" s="15"/>
      <c r="L174" s="15"/>
      <c r="M174" s="16"/>
      <c r="N174" s="1"/>
      <c r="O174" s="1"/>
      <c r="P174" s="1"/>
    </row>
    <row r="175" spans="1:16" x14ac:dyDescent="0.25">
      <c r="A175" s="13" t="s">
        <v>470</v>
      </c>
      <c r="B175" s="13" t="s">
        <v>471</v>
      </c>
      <c r="C175" s="20" t="s">
        <v>1458</v>
      </c>
      <c r="D175" s="13" t="s">
        <v>249</v>
      </c>
      <c r="E175" s="13" t="s">
        <v>411</v>
      </c>
      <c r="F175" s="13" t="s">
        <v>157</v>
      </c>
      <c r="G175" s="21">
        <v>42576</v>
      </c>
      <c r="H175" s="13" t="s">
        <v>388</v>
      </c>
      <c r="I175" s="36"/>
      <c r="J175" s="15"/>
      <c r="K175" s="15"/>
      <c r="L175" s="15"/>
      <c r="M175" s="16"/>
      <c r="N175" s="1"/>
      <c r="O175" s="1"/>
      <c r="P175" s="1"/>
    </row>
    <row r="176" spans="1:16" x14ac:dyDescent="0.25">
      <c r="A176" s="13" t="s">
        <v>502</v>
      </c>
      <c r="B176" s="13" t="s">
        <v>503</v>
      </c>
      <c r="C176" s="20" t="s">
        <v>1458</v>
      </c>
      <c r="D176" s="13" t="s">
        <v>249</v>
      </c>
      <c r="E176" s="13" t="s">
        <v>411</v>
      </c>
      <c r="F176" s="13" t="s">
        <v>157</v>
      </c>
      <c r="G176" s="21">
        <v>42604</v>
      </c>
      <c r="H176" s="13" t="s">
        <v>412</v>
      </c>
      <c r="I176" s="36"/>
      <c r="J176" s="15"/>
      <c r="K176" s="15"/>
      <c r="L176" s="15"/>
      <c r="M176" s="16"/>
      <c r="N176" s="1"/>
      <c r="O176" s="1"/>
      <c r="P176" s="1"/>
    </row>
    <row r="177" spans="1:16" x14ac:dyDescent="0.25">
      <c r="A177" s="13" t="s">
        <v>504</v>
      </c>
      <c r="B177" s="13" t="s">
        <v>505</v>
      </c>
      <c r="C177" s="20" t="s">
        <v>1458</v>
      </c>
      <c r="D177" s="13" t="s">
        <v>249</v>
      </c>
      <c r="E177" s="13" t="s">
        <v>1424</v>
      </c>
      <c r="F177" s="13" t="s">
        <v>157</v>
      </c>
      <c r="G177" s="21">
        <v>42604</v>
      </c>
      <c r="H177" s="13" t="s">
        <v>389</v>
      </c>
      <c r="I177" s="36"/>
      <c r="J177" s="15"/>
      <c r="K177" s="15"/>
      <c r="L177" s="15"/>
      <c r="M177" s="16"/>
      <c r="N177" s="1"/>
      <c r="O177" s="1"/>
      <c r="P177" s="1"/>
    </row>
    <row r="178" spans="1:16" x14ac:dyDescent="0.25">
      <c r="A178" s="13" t="s">
        <v>515</v>
      </c>
      <c r="B178" s="13" t="s">
        <v>516</v>
      </c>
      <c r="C178" s="20" t="s">
        <v>1458</v>
      </c>
      <c r="D178" s="13" t="s">
        <v>249</v>
      </c>
      <c r="E178" s="13" t="s">
        <v>1425</v>
      </c>
      <c r="F178" s="13" t="s">
        <v>157</v>
      </c>
      <c r="G178" s="21">
        <v>42614</v>
      </c>
      <c r="H178" s="13" t="s">
        <v>389</v>
      </c>
      <c r="I178" s="36"/>
      <c r="J178" s="15"/>
      <c r="K178" s="15"/>
      <c r="L178" s="15"/>
      <c r="M178" s="16"/>
      <c r="N178" s="1"/>
      <c r="O178" s="1"/>
      <c r="P178" s="1"/>
    </row>
    <row r="179" spans="1:16" x14ac:dyDescent="0.25">
      <c r="A179" s="13" t="s">
        <v>551</v>
      </c>
      <c r="B179" s="13" t="s">
        <v>552</v>
      </c>
      <c r="C179" s="20" t="s">
        <v>1458</v>
      </c>
      <c r="D179" s="13" t="s">
        <v>249</v>
      </c>
      <c r="E179" s="13" t="s">
        <v>411</v>
      </c>
      <c r="F179" s="13" t="s">
        <v>157</v>
      </c>
      <c r="G179" s="21">
        <v>42639</v>
      </c>
      <c r="H179" s="13" t="s">
        <v>388</v>
      </c>
      <c r="I179" s="36"/>
      <c r="J179" s="15"/>
      <c r="K179" s="15"/>
      <c r="L179" s="15"/>
      <c r="M179" s="16"/>
      <c r="N179" s="1"/>
      <c r="O179" s="1"/>
      <c r="P179" s="1"/>
    </row>
    <row r="180" spans="1:16" x14ac:dyDescent="0.25">
      <c r="A180" s="13" t="s">
        <v>559</v>
      </c>
      <c r="B180" s="13" t="s">
        <v>460</v>
      </c>
      <c r="C180" s="20" t="s">
        <v>1458</v>
      </c>
      <c r="D180" s="13" t="s">
        <v>249</v>
      </c>
      <c r="E180" s="13" t="s">
        <v>1426</v>
      </c>
      <c r="F180" s="13" t="s">
        <v>38</v>
      </c>
      <c r="G180" s="21">
        <v>42653</v>
      </c>
      <c r="H180" s="13" t="s">
        <v>389</v>
      </c>
      <c r="I180" s="36"/>
      <c r="J180" s="15"/>
      <c r="K180" s="15"/>
      <c r="L180" s="15"/>
      <c r="M180" s="16"/>
      <c r="N180" s="1"/>
      <c r="O180" s="1"/>
      <c r="P180" s="1"/>
    </row>
    <row r="181" spans="1:16" x14ac:dyDescent="0.25">
      <c r="A181" s="13" t="s">
        <v>587</v>
      </c>
      <c r="B181" s="13" t="s">
        <v>588</v>
      </c>
      <c r="C181" s="20" t="s">
        <v>1458</v>
      </c>
      <c r="D181" s="13" t="s">
        <v>249</v>
      </c>
      <c r="E181" s="13" t="s">
        <v>1424</v>
      </c>
      <c r="F181" s="13" t="s">
        <v>157</v>
      </c>
      <c r="G181" s="21">
        <v>42681</v>
      </c>
      <c r="H181" s="13" t="s">
        <v>389</v>
      </c>
      <c r="I181" s="36"/>
      <c r="J181" s="15"/>
      <c r="K181" s="15"/>
      <c r="L181" s="15"/>
      <c r="M181" s="16"/>
      <c r="N181" s="1"/>
      <c r="O181" s="1"/>
      <c r="P181" s="1"/>
    </row>
    <row r="182" spans="1:16" x14ac:dyDescent="0.25">
      <c r="A182" s="13" t="s">
        <v>589</v>
      </c>
      <c r="B182" s="13" t="s">
        <v>590</v>
      </c>
      <c r="C182" s="20" t="s">
        <v>1458</v>
      </c>
      <c r="D182" s="13" t="s">
        <v>249</v>
      </c>
      <c r="E182" s="13" t="s">
        <v>411</v>
      </c>
      <c r="F182" s="13" t="s">
        <v>157</v>
      </c>
      <c r="G182" s="21">
        <v>42681</v>
      </c>
      <c r="H182" s="13" t="s">
        <v>388</v>
      </c>
      <c r="I182" s="36"/>
      <c r="J182" s="15"/>
      <c r="K182" s="15"/>
      <c r="L182" s="15"/>
      <c r="M182" s="16"/>
      <c r="N182" s="1"/>
      <c r="O182" s="1"/>
      <c r="P182" s="1"/>
    </row>
    <row r="183" spans="1:16" x14ac:dyDescent="0.25">
      <c r="A183" s="13" t="s">
        <v>591</v>
      </c>
      <c r="B183" s="13" t="s">
        <v>592</v>
      </c>
      <c r="C183" s="20" t="s">
        <v>1458</v>
      </c>
      <c r="D183" s="13" t="s">
        <v>249</v>
      </c>
      <c r="E183" s="13" t="s">
        <v>593</v>
      </c>
      <c r="F183" s="13" t="s">
        <v>125</v>
      </c>
      <c r="G183" s="21">
        <v>42683</v>
      </c>
      <c r="H183" s="13" t="s">
        <v>358</v>
      </c>
      <c r="I183" s="36"/>
      <c r="J183" s="15"/>
      <c r="K183" s="15"/>
      <c r="L183" s="15"/>
      <c r="M183" s="16"/>
      <c r="N183" s="1"/>
      <c r="O183" s="1"/>
      <c r="P183" s="1"/>
    </row>
    <row r="184" spans="1:16" x14ac:dyDescent="0.25">
      <c r="A184" s="13" t="s">
        <v>631</v>
      </c>
      <c r="B184" s="13" t="s">
        <v>632</v>
      </c>
      <c r="C184" s="20" t="s">
        <v>1458</v>
      </c>
      <c r="D184" s="13" t="s">
        <v>249</v>
      </c>
      <c r="E184" s="13" t="s">
        <v>411</v>
      </c>
      <c r="F184" s="13" t="s">
        <v>157</v>
      </c>
      <c r="G184" s="21">
        <v>42716</v>
      </c>
      <c r="H184" s="13" t="s">
        <v>388</v>
      </c>
      <c r="I184" s="36"/>
      <c r="J184" s="15"/>
      <c r="K184" s="15"/>
      <c r="L184" s="15"/>
      <c r="M184" s="16"/>
      <c r="N184" s="1"/>
      <c r="O184" s="1"/>
      <c r="P184" s="1"/>
    </row>
    <row r="185" spans="1:16" x14ac:dyDescent="0.25">
      <c r="A185" s="13" t="s">
        <v>639</v>
      </c>
      <c r="B185" s="13" t="s">
        <v>640</v>
      </c>
      <c r="C185" s="20" t="s">
        <v>1458</v>
      </c>
      <c r="D185" s="13" t="s">
        <v>249</v>
      </c>
      <c r="E185" s="13" t="s">
        <v>411</v>
      </c>
      <c r="F185" s="13" t="s">
        <v>157</v>
      </c>
      <c r="G185" s="21">
        <v>42725</v>
      </c>
      <c r="H185" s="13" t="s">
        <v>412</v>
      </c>
      <c r="I185" s="36"/>
      <c r="J185" s="15"/>
      <c r="K185" s="15"/>
      <c r="L185" s="15"/>
      <c r="M185" s="16"/>
      <c r="N185" s="1"/>
      <c r="O185" s="1"/>
      <c r="P185" s="1"/>
    </row>
    <row r="186" spans="1:16" x14ac:dyDescent="0.25">
      <c r="A186" s="13" t="s">
        <v>652</v>
      </c>
      <c r="B186" s="13" t="s">
        <v>653</v>
      </c>
      <c r="C186" s="20" t="s">
        <v>1458</v>
      </c>
      <c r="D186" s="13" t="s">
        <v>249</v>
      </c>
      <c r="E186" s="13" t="s">
        <v>411</v>
      </c>
      <c r="F186" s="13" t="s">
        <v>157</v>
      </c>
      <c r="G186" s="21">
        <v>42744</v>
      </c>
      <c r="H186" s="13" t="s">
        <v>388</v>
      </c>
      <c r="I186" s="36"/>
      <c r="J186" s="15"/>
      <c r="K186" s="15"/>
      <c r="L186" s="15"/>
      <c r="M186" s="16"/>
      <c r="N186" s="1"/>
      <c r="O186" s="1"/>
      <c r="P186" s="1"/>
    </row>
    <row r="187" spans="1:16" x14ac:dyDescent="0.25">
      <c r="A187" s="13" t="s">
        <v>654</v>
      </c>
      <c r="B187" s="13" t="s">
        <v>655</v>
      </c>
      <c r="C187" s="20" t="s">
        <v>1458</v>
      </c>
      <c r="D187" s="13" t="s">
        <v>249</v>
      </c>
      <c r="E187" s="13" t="s">
        <v>411</v>
      </c>
      <c r="F187" s="13" t="s">
        <v>157</v>
      </c>
      <c r="G187" s="21">
        <v>42746</v>
      </c>
      <c r="H187" s="13" t="s">
        <v>460</v>
      </c>
      <c r="I187" s="36"/>
      <c r="J187" s="15"/>
      <c r="K187" s="15"/>
      <c r="L187" s="15"/>
      <c r="M187" s="16"/>
      <c r="N187" s="1"/>
      <c r="O187" s="1"/>
      <c r="P187" s="1"/>
    </row>
    <row r="188" spans="1:16" x14ac:dyDescent="0.25">
      <c r="A188" s="13" t="s">
        <v>658</v>
      </c>
      <c r="B188" s="13" t="s">
        <v>659</v>
      </c>
      <c r="C188" s="20" t="s">
        <v>1458</v>
      </c>
      <c r="D188" s="13" t="s">
        <v>249</v>
      </c>
      <c r="E188" s="13" t="s">
        <v>411</v>
      </c>
      <c r="F188" s="13" t="s">
        <v>157</v>
      </c>
      <c r="G188" s="21">
        <v>42751</v>
      </c>
      <c r="H188" s="13" t="s">
        <v>460</v>
      </c>
      <c r="I188" s="36"/>
      <c r="J188" s="15"/>
      <c r="K188" s="15"/>
      <c r="L188" s="15"/>
      <c r="M188" s="16"/>
      <c r="N188" s="1"/>
      <c r="O188" s="1"/>
      <c r="P188" s="1"/>
    </row>
    <row r="189" spans="1:16" x14ac:dyDescent="0.25">
      <c r="A189" s="13" t="s">
        <v>664</v>
      </c>
      <c r="B189" s="13" t="s">
        <v>665</v>
      </c>
      <c r="C189" s="20" t="s">
        <v>1458</v>
      </c>
      <c r="D189" s="13" t="s">
        <v>249</v>
      </c>
      <c r="E189" s="13" t="s">
        <v>411</v>
      </c>
      <c r="F189" s="13" t="s">
        <v>157</v>
      </c>
      <c r="G189" s="21">
        <v>42779</v>
      </c>
      <c r="H189" s="13" t="s">
        <v>460</v>
      </c>
      <c r="I189" s="36"/>
      <c r="J189" s="15"/>
      <c r="K189" s="15"/>
      <c r="L189" s="15"/>
      <c r="M189" s="16"/>
      <c r="N189" s="1"/>
      <c r="O189" s="1"/>
      <c r="P189" s="1"/>
    </row>
    <row r="190" spans="1:16" x14ac:dyDescent="0.25">
      <c r="A190" s="13" t="s">
        <v>666</v>
      </c>
      <c r="B190" s="13" t="s">
        <v>667</v>
      </c>
      <c r="C190" s="20" t="s">
        <v>1458</v>
      </c>
      <c r="D190" s="13" t="s">
        <v>249</v>
      </c>
      <c r="E190" s="13" t="s">
        <v>232</v>
      </c>
      <c r="F190" s="13" t="s">
        <v>157</v>
      </c>
      <c r="G190" s="21">
        <v>42786</v>
      </c>
      <c r="H190" s="13" t="s">
        <v>408</v>
      </c>
      <c r="I190" s="36"/>
      <c r="J190" s="15"/>
      <c r="K190" s="15"/>
      <c r="L190" s="15"/>
      <c r="M190" s="16"/>
      <c r="N190" s="1"/>
      <c r="O190" s="1"/>
      <c r="P190" s="1"/>
    </row>
    <row r="191" spans="1:16" x14ac:dyDescent="0.25">
      <c r="A191" s="13" t="s">
        <v>668</v>
      </c>
      <c r="B191" s="13" t="s">
        <v>408</v>
      </c>
      <c r="C191" s="20" t="s">
        <v>1458</v>
      </c>
      <c r="D191" s="13" t="s">
        <v>249</v>
      </c>
      <c r="E191" s="13" t="s">
        <v>1428</v>
      </c>
      <c r="F191" s="13" t="s">
        <v>157</v>
      </c>
      <c r="G191" s="21">
        <v>42786</v>
      </c>
      <c r="H191" s="13" t="s">
        <v>592</v>
      </c>
      <c r="I191" s="36"/>
      <c r="J191" s="15"/>
      <c r="K191" s="15"/>
      <c r="L191" s="15"/>
      <c r="M191" s="16"/>
      <c r="N191" s="1"/>
      <c r="O191" s="1"/>
      <c r="P191" s="1"/>
    </row>
    <row r="192" spans="1:16" x14ac:dyDescent="0.25">
      <c r="A192" s="13" t="s">
        <v>672</v>
      </c>
      <c r="B192" s="13" t="s">
        <v>673</v>
      </c>
      <c r="C192" s="20" t="s">
        <v>1458</v>
      </c>
      <c r="D192" s="13" t="s">
        <v>249</v>
      </c>
      <c r="E192" s="13" t="s">
        <v>411</v>
      </c>
      <c r="F192" s="13" t="s">
        <v>157</v>
      </c>
      <c r="G192" s="21">
        <v>42788</v>
      </c>
      <c r="H192" s="13" t="s">
        <v>388</v>
      </c>
      <c r="I192" s="36"/>
      <c r="J192" s="15"/>
      <c r="K192" s="15"/>
      <c r="L192" s="15"/>
      <c r="M192" s="16"/>
      <c r="N192" s="1"/>
      <c r="O192" s="1"/>
      <c r="P192" s="1"/>
    </row>
    <row r="193" spans="1:16" x14ac:dyDescent="0.25">
      <c r="A193" s="13" t="s">
        <v>676</v>
      </c>
      <c r="B193" s="13" t="s">
        <v>677</v>
      </c>
      <c r="C193" s="20" t="s">
        <v>1458</v>
      </c>
      <c r="D193" s="13" t="s">
        <v>249</v>
      </c>
      <c r="E193" s="13" t="s">
        <v>1424</v>
      </c>
      <c r="F193" s="13" t="s">
        <v>157</v>
      </c>
      <c r="G193" s="21">
        <v>42793</v>
      </c>
      <c r="H193" s="13" t="s">
        <v>389</v>
      </c>
      <c r="I193" s="36"/>
      <c r="J193" s="15"/>
      <c r="K193" s="15"/>
      <c r="L193" s="15"/>
      <c r="M193" s="16"/>
      <c r="N193" s="1"/>
      <c r="O193" s="1"/>
      <c r="P193" s="1"/>
    </row>
    <row r="194" spans="1:16" x14ac:dyDescent="0.25">
      <c r="A194" s="13" t="s">
        <v>686</v>
      </c>
      <c r="B194" s="13" t="s">
        <v>687</v>
      </c>
      <c r="C194" s="20" t="s">
        <v>1458</v>
      </c>
      <c r="D194" s="13" t="s">
        <v>249</v>
      </c>
      <c r="E194" s="13" t="s">
        <v>411</v>
      </c>
      <c r="F194" s="13" t="s">
        <v>157</v>
      </c>
      <c r="G194" s="21">
        <v>42800</v>
      </c>
      <c r="H194" s="13" t="s">
        <v>388</v>
      </c>
      <c r="I194" s="36"/>
      <c r="J194" s="15"/>
      <c r="K194" s="15"/>
      <c r="L194" s="15"/>
      <c r="M194" s="16"/>
      <c r="N194" s="1"/>
      <c r="O194" s="1"/>
      <c r="P194" s="1"/>
    </row>
    <row r="195" spans="1:16" x14ac:dyDescent="0.25">
      <c r="A195" s="13" t="s">
        <v>693</v>
      </c>
      <c r="B195" s="13" t="s">
        <v>694</v>
      </c>
      <c r="C195" s="20" t="s">
        <v>1458</v>
      </c>
      <c r="D195" s="13" t="s">
        <v>249</v>
      </c>
      <c r="E195" s="13" t="s">
        <v>411</v>
      </c>
      <c r="F195" s="13" t="s">
        <v>157</v>
      </c>
      <c r="G195" s="21">
        <v>42816</v>
      </c>
      <c r="H195" s="13" t="s">
        <v>388</v>
      </c>
      <c r="I195" s="36"/>
      <c r="J195" s="15"/>
      <c r="K195" s="15"/>
      <c r="L195" s="15"/>
      <c r="M195" s="16"/>
      <c r="N195" s="1"/>
      <c r="O195" s="1"/>
      <c r="P195" s="1"/>
    </row>
    <row r="196" spans="1:16" x14ac:dyDescent="0.25">
      <c r="A196" s="13" t="s">
        <v>695</v>
      </c>
      <c r="B196" s="13" t="s">
        <v>696</v>
      </c>
      <c r="C196" s="20" t="s">
        <v>1458</v>
      </c>
      <c r="D196" s="13" t="s">
        <v>249</v>
      </c>
      <c r="E196" s="13" t="s">
        <v>411</v>
      </c>
      <c r="F196" s="13" t="s">
        <v>157</v>
      </c>
      <c r="G196" s="21">
        <v>42816</v>
      </c>
      <c r="H196" s="13" t="s">
        <v>388</v>
      </c>
      <c r="I196" s="36"/>
      <c r="J196" s="15"/>
      <c r="K196" s="15"/>
      <c r="L196" s="15"/>
      <c r="M196" s="16"/>
      <c r="N196" s="1"/>
      <c r="O196" s="1"/>
      <c r="P196" s="1"/>
    </row>
    <row r="197" spans="1:16" x14ac:dyDescent="0.25">
      <c r="A197" s="13" t="s">
        <v>726</v>
      </c>
      <c r="B197" s="13" t="s">
        <v>727</v>
      </c>
      <c r="C197" s="20" t="s">
        <v>1458</v>
      </c>
      <c r="D197" s="13" t="s">
        <v>249</v>
      </c>
      <c r="E197" s="13" t="s">
        <v>411</v>
      </c>
      <c r="F197" s="13" t="s">
        <v>157</v>
      </c>
      <c r="G197" s="21">
        <v>42858</v>
      </c>
      <c r="H197" s="13" t="s">
        <v>412</v>
      </c>
      <c r="I197" s="36"/>
      <c r="J197" s="15"/>
      <c r="K197" s="15"/>
      <c r="L197" s="15"/>
      <c r="M197" s="16"/>
      <c r="N197" s="1"/>
      <c r="O197" s="1"/>
      <c r="P197" s="1"/>
    </row>
    <row r="198" spans="1:16" x14ac:dyDescent="0.25">
      <c r="A198" s="13" t="s">
        <v>728</v>
      </c>
      <c r="B198" s="13" t="s">
        <v>729</v>
      </c>
      <c r="C198" s="20" t="s">
        <v>1458</v>
      </c>
      <c r="D198" s="13" t="s">
        <v>249</v>
      </c>
      <c r="E198" s="13" t="s">
        <v>232</v>
      </c>
      <c r="F198" s="13" t="s">
        <v>157</v>
      </c>
      <c r="G198" s="21">
        <v>42863</v>
      </c>
      <c r="H198" s="13" t="s">
        <v>408</v>
      </c>
      <c r="I198" s="36"/>
      <c r="J198" s="15"/>
      <c r="K198" s="15"/>
      <c r="L198" s="15"/>
      <c r="M198" s="16"/>
      <c r="N198" s="1"/>
      <c r="O198" s="1"/>
      <c r="P198" s="1"/>
    </row>
    <row r="199" spans="1:16" x14ac:dyDescent="0.25">
      <c r="A199" s="13" t="s">
        <v>734</v>
      </c>
      <c r="B199" s="13" t="s">
        <v>735</v>
      </c>
      <c r="C199" s="20" t="s">
        <v>1458</v>
      </c>
      <c r="D199" s="13" t="s">
        <v>249</v>
      </c>
      <c r="E199" s="13" t="s">
        <v>411</v>
      </c>
      <c r="F199" s="13" t="s">
        <v>157</v>
      </c>
      <c r="G199" s="21">
        <v>42865</v>
      </c>
      <c r="H199" s="13" t="s">
        <v>460</v>
      </c>
      <c r="I199" s="36"/>
      <c r="J199" s="15"/>
      <c r="K199" s="15"/>
      <c r="L199" s="15"/>
      <c r="M199" s="16"/>
      <c r="N199" s="1"/>
      <c r="O199" s="1"/>
      <c r="P199" s="1"/>
    </row>
    <row r="200" spans="1:16" x14ac:dyDescent="0.25">
      <c r="A200" s="13" t="s">
        <v>738</v>
      </c>
      <c r="B200" s="13" t="s">
        <v>739</v>
      </c>
      <c r="C200" s="20" t="s">
        <v>1458</v>
      </c>
      <c r="D200" s="13" t="s">
        <v>249</v>
      </c>
      <c r="E200" s="13" t="s">
        <v>411</v>
      </c>
      <c r="F200" s="13" t="s">
        <v>157</v>
      </c>
      <c r="G200" s="21">
        <v>42870</v>
      </c>
      <c r="H200" s="13" t="s">
        <v>412</v>
      </c>
      <c r="I200" s="36"/>
      <c r="J200" s="15"/>
      <c r="K200" s="15"/>
      <c r="L200" s="15"/>
      <c r="M200" s="16"/>
      <c r="N200" s="1"/>
      <c r="O200" s="1"/>
      <c r="P200" s="1"/>
    </row>
    <row r="201" spans="1:16" x14ac:dyDescent="0.25">
      <c r="A201" s="13" t="s">
        <v>740</v>
      </c>
      <c r="B201" s="13" t="s">
        <v>741</v>
      </c>
      <c r="C201" s="20" t="s">
        <v>1458</v>
      </c>
      <c r="D201" s="13" t="s">
        <v>249</v>
      </c>
      <c r="E201" s="13" t="s">
        <v>411</v>
      </c>
      <c r="F201" s="13" t="s">
        <v>157</v>
      </c>
      <c r="G201" s="21">
        <v>42872</v>
      </c>
      <c r="H201" s="13" t="s">
        <v>388</v>
      </c>
      <c r="I201" s="36"/>
      <c r="J201" s="15"/>
      <c r="K201" s="15"/>
      <c r="L201" s="15"/>
      <c r="M201" s="16"/>
      <c r="N201" s="1"/>
      <c r="O201" s="1"/>
      <c r="P201" s="1"/>
    </row>
    <row r="202" spans="1:16" x14ac:dyDescent="0.25">
      <c r="A202" s="13" t="s">
        <v>761</v>
      </c>
      <c r="B202" s="13" t="s">
        <v>762</v>
      </c>
      <c r="C202" s="20" t="s">
        <v>1458</v>
      </c>
      <c r="D202" s="13" t="s">
        <v>249</v>
      </c>
      <c r="E202" s="13" t="s">
        <v>411</v>
      </c>
      <c r="F202" s="13" t="s">
        <v>157</v>
      </c>
      <c r="G202" s="21">
        <v>42935</v>
      </c>
      <c r="H202" s="13" t="s">
        <v>460</v>
      </c>
      <c r="I202" s="36"/>
      <c r="J202" s="15"/>
      <c r="K202" s="15"/>
      <c r="L202" s="15"/>
      <c r="M202" s="16"/>
      <c r="N202" s="1"/>
      <c r="O202" s="1"/>
      <c r="P202" s="1"/>
    </row>
    <row r="203" spans="1:16" x14ac:dyDescent="0.25">
      <c r="A203" s="13" t="s">
        <v>763</v>
      </c>
      <c r="B203" s="13" t="s">
        <v>764</v>
      </c>
      <c r="C203" s="20" t="s">
        <v>1458</v>
      </c>
      <c r="D203" s="13" t="s">
        <v>249</v>
      </c>
      <c r="E203" s="13" t="s">
        <v>411</v>
      </c>
      <c r="F203" s="13" t="s">
        <v>157</v>
      </c>
      <c r="G203" s="21">
        <v>42947</v>
      </c>
      <c r="H203" s="13" t="s">
        <v>460</v>
      </c>
      <c r="I203" s="36"/>
      <c r="J203" s="15"/>
      <c r="K203" s="15"/>
      <c r="L203" s="15"/>
      <c r="M203" s="16"/>
      <c r="N203" s="1"/>
      <c r="O203" s="1"/>
      <c r="P203" s="1"/>
    </row>
    <row r="204" spans="1:16" x14ac:dyDescent="0.25">
      <c r="A204" s="13" t="s">
        <v>765</v>
      </c>
      <c r="B204" s="13" t="s">
        <v>766</v>
      </c>
      <c r="C204" s="20" t="s">
        <v>1458</v>
      </c>
      <c r="D204" s="13" t="s">
        <v>249</v>
      </c>
      <c r="E204" s="13" t="s">
        <v>411</v>
      </c>
      <c r="F204" s="13" t="s">
        <v>157</v>
      </c>
      <c r="G204" s="21">
        <v>42949</v>
      </c>
      <c r="H204" s="13" t="s">
        <v>460</v>
      </c>
      <c r="I204" s="36"/>
      <c r="J204" s="15"/>
      <c r="K204" s="15"/>
      <c r="L204" s="15"/>
      <c r="M204" s="16"/>
      <c r="N204" s="1"/>
      <c r="O204" s="1"/>
      <c r="P204" s="1"/>
    </row>
    <row r="205" spans="1:16" x14ac:dyDescent="0.25">
      <c r="A205" s="13" t="s">
        <v>774</v>
      </c>
      <c r="B205" s="13" t="s">
        <v>775</v>
      </c>
      <c r="C205" s="20" t="s">
        <v>1458</v>
      </c>
      <c r="D205" s="13" t="s">
        <v>249</v>
      </c>
      <c r="E205" s="13" t="s">
        <v>232</v>
      </c>
      <c r="F205" s="13" t="s">
        <v>157</v>
      </c>
      <c r="G205" s="21">
        <v>42956</v>
      </c>
      <c r="H205" s="13" t="s">
        <v>408</v>
      </c>
      <c r="I205" s="36"/>
      <c r="J205" s="15"/>
      <c r="K205" s="15"/>
      <c r="L205" s="15"/>
      <c r="M205" s="16"/>
      <c r="N205" s="1"/>
      <c r="O205" s="1"/>
      <c r="P205" s="1"/>
    </row>
    <row r="206" spans="1:16" x14ac:dyDescent="0.25">
      <c r="A206" s="13" t="s">
        <v>782</v>
      </c>
      <c r="B206" s="13" t="s">
        <v>783</v>
      </c>
      <c r="C206" s="20" t="s">
        <v>1458</v>
      </c>
      <c r="D206" s="13" t="s">
        <v>249</v>
      </c>
      <c r="E206" s="13" t="s">
        <v>232</v>
      </c>
      <c r="F206" s="13" t="s">
        <v>157</v>
      </c>
      <c r="G206" s="21">
        <v>42963</v>
      </c>
      <c r="H206" s="13" t="s">
        <v>408</v>
      </c>
      <c r="I206" s="36"/>
      <c r="J206" s="15"/>
      <c r="K206" s="15"/>
      <c r="L206" s="15"/>
      <c r="M206" s="16"/>
      <c r="N206" s="1"/>
      <c r="O206" s="1"/>
      <c r="P206" s="1"/>
    </row>
    <row r="207" spans="1:16" x14ac:dyDescent="0.25">
      <c r="A207" s="13" t="s">
        <v>784</v>
      </c>
      <c r="B207" s="13" t="s">
        <v>785</v>
      </c>
      <c r="C207" s="20" t="s">
        <v>1458</v>
      </c>
      <c r="D207" s="13" t="s">
        <v>249</v>
      </c>
      <c r="E207" s="13" t="s">
        <v>411</v>
      </c>
      <c r="F207" s="13" t="s">
        <v>157</v>
      </c>
      <c r="G207" s="21">
        <v>42968</v>
      </c>
      <c r="H207" s="13" t="s">
        <v>388</v>
      </c>
      <c r="I207" s="36"/>
      <c r="J207" s="15"/>
      <c r="K207" s="15"/>
      <c r="L207" s="15"/>
      <c r="M207" s="16"/>
      <c r="N207" s="1"/>
      <c r="O207" s="1"/>
      <c r="P207" s="1"/>
    </row>
    <row r="208" spans="1:16" x14ac:dyDescent="0.25">
      <c r="A208" s="13" t="s">
        <v>819</v>
      </c>
      <c r="B208" s="13" t="s">
        <v>820</v>
      </c>
      <c r="C208" s="20" t="s">
        <v>1458</v>
      </c>
      <c r="D208" s="13" t="s">
        <v>249</v>
      </c>
      <c r="E208" s="13" t="s">
        <v>411</v>
      </c>
      <c r="F208" s="13" t="s">
        <v>157</v>
      </c>
      <c r="G208" s="21">
        <v>43005</v>
      </c>
      <c r="H208" s="13" t="s">
        <v>460</v>
      </c>
      <c r="I208" s="36"/>
      <c r="J208" s="15"/>
      <c r="K208" s="15"/>
      <c r="L208" s="15"/>
      <c r="M208" s="16"/>
      <c r="N208" s="1"/>
      <c r="O208" s="1"/>
      <c r="P208" s="1"/>
    </row>
    <row r="209" spans="1:16" x14ac:dyDescent="0.25">
      <c r="A209" s="13" t="s">
        <v>831</v>
      </c>
      <c r="B209" s="13" t="s">
        <v>832</v>
      </c>
      <c r="C209" s="20" t="s">
        <v>1458</v>
      </c>
      <c r="D209" s="13" t="s">
        <v>249</v>
      </c>
      <c r="E209" s="13" t="s">
        <v>411</v>
      </c>
      <c r="F209" s="13" t="s">
        <v>157</v>
      </c>
      <c r="G209" s="21">
        <v>43024</v>
      </c>
      <c r="H209" s="13" t="s">
        <v>412</v>
      </c>
      <c r="I209" s="36"/>
      <c r="J209" s="15"/>
      <c r="K209" s="15"/>
      <c r="L209" s="15"/>
      <c r="M209" s="16"/>
      <c r="N209" s="1"/>
      <c r="O209" s="1"/>
      <c r="P209" s="1"/>
    </row>
    <row r="210" spans="1:16" x14ac:dyDescent="0.25">
      <c r="A210" s="13" t="s">
        <v>838</v>
      </c>
      <c r="B210" s="13" t="s">
        <v>839</v>
      </c>
      <c r="C210" s="20" t="s">
        <v>1458</v>
      </c>
      <c r="D210" s="13" t="s">
        <v>249</v>
      </c>
      <c r="E210" s="13" t="s">
        <v>411</v>
      </c>
      <c r="F210" s="13" t="s">
        <v>157</v>
      </c>
      <c r="G210" s="21">
        <v>43031</v>
      </c>
      <c r="H210" s="13" t="s">
        <v>412</v>
      </c>
      <c r="I210" s="36"/>
      <c r="J210" s="15"/>
      <c r="K210" s="15"/>
      <c r="L210" s="15"/>
      <c r="M210" s="16"/>
      <c r="N210" s="1"/>
      <c r="O210" s="1"/>
      <c r="P210" s="1"/>
    </row>
    <row r="211" spans="1:16" x14ac:dyDescent="0.25">
      <c r="A211" s="13" t="s">
        <v>853</v>
      </c>
      <c r="B211" s="13" t="s">
        <v>854</v>
      </c>
      <c r="C211" s="20" t="s">
        <v>1458</v>
      </c>
      <c r="D211" s="13" t="s">
        <v>249</v>
      </c>
      <c r="E211" s="13" t="s">
        <v>411</v>
      </c>
      <c r="F211" s="13" t="s">
        <v>157</v>
      </c>
      <c r="G211" s="21">
        <v>43059</v>
      </c>
      <c r="H211" s="13" t="s">
        <v>460</v>
      </c>
      <c r="I211" s="36"/>
      <c r="J211" s="15"/>
      <c r="K211" s="15"/>
      <c r="L211" s="15"/>
      <c r="M211" s="16"/>
      <c r="N211" s="1"/>
      <c r="O211" s="1"/>
      <c r="P211" s="1"/>
    </row>
    <row r="212" spans="1:16" x14ac:dyDescent="0.25">
      <c r="A212" s="13" t="s">
        <v>874</v>
      </c>
      <c r="B212" s="13" t="s">
        <v>875</v>
      </c>
      <c r="C212" s="20" t="s">
        <v>1458</v>
      </c>
      <c r="D212" s="13" t="s">
        <v>249</v>
      </c>
      <c r="E212" s="13" t="s">
        <v>1429</v>
      </c>
      <c r="F212" s="13" t="s">
        <v>56</v>
      </c>
      <c r="G212" s="21">
        <v>43129</v>
      </c>
      <c r="H212" s="13" t="s">
        <v>592</v>
      </c>
      <c r="I212" s="36"/>
      <c r="J212" s="15"/>
      <c r="K212" s="15"/>
      <c r="L212" s="15"/>
      <c r="M212" s="16"/>
      <c r="N212" s="1"/>
      <c r="O212" s="1"/>
      <c r="P212" s="1"/>
    </row>
    <row r="213" spans="1:16" x14ac:dyDescent="0.25">
      <c r="A213" s="13" t="s">
        <v>988</v>
      </c>
      <c r="B213" s="13" t="s">
        <v>314</v>
      </c>
      <c r="C213" s="20" t="s">
        <v>1458</v>
      </c>
      <c r="D213" s="13" t="s">
        <v>249</v>
      </c>
      <c r="E213" s="13" t="s">
        <v>411</v>
      </c>
      <c r="F213" s="13" t="s">
        <v>157</v>
      </c>
      <c r="G213" s="21">
        <v>43236</v>
      </c>
      <c r="H213" s="13" t="s">
        <v>388</v>
      </c>
      <c r="I213" s="36"/>
      <c r="J213" s="15"/>
      <c r="K213" s="15"/>
      <c r="L213" s="15"/>
      <c r="M213" s="16"/>
      <c r="N213" s="1"/>
      <c r="O213" s="1"/>
      <c r="P213" s="1"/>
    </row>
    <row r="214" spans="1:16" x14ac:dyDescent="0.25">
      <c r="A214" s="13" t="s">
        <v>1021</v>
      </c>
      <c r="B214" s="13" t="s">
        <v>1022</v>
      </c>
      <c r="C214" s="20" t="s">
        <v>1458</v>
      </c>
      <c r="D214" s="13" t="s">
        <v>249</v>
      </c>
      <c r="E214" s="13" t="s">
        <v>411</v>
      </c>
      <c r="F214" s="13" t="s">
        <v>157</v>
      </c>
      <c r="G214" s="21">
        <v>43250</v>
      </c>
      <c r="H214" s="13" t="s">
        <v>388</v>
      </c>
      <c r="I214" s="36"/>
      <c r="J214" s="15"/>
      <c r="K214" s="15"/>
      <c r="L214" s="15"/>
      <c r="M214" s="16"/>
      <c r="N214" s="1"/>
      <c r="O214" s="1"/>
      <c r="P214" s="1"/>
    </row>
    <row r="215" spans="1:16" x14ac:dyDescent="0.25">
      <c r="A215" s="13" t="s">
        <v>1047</v>
      </c>
      <c r="B215" s="13" t="s">
        <v>1048</v>
      </c>
      <c r="C215" s="20" t="s">
        <v>1458</v>
      </c>
      <c r="D215" s="13" t="s">
        <v>249</v>
      </c>
      <c r="E215" s="13" t="s">
        <v>411</v>
      </c>
      <c r="F215" s="13" t="s">
        <v>157</v>
      </c>
      <c r="G215" s="21">
        <v>43262</v>
      </c>
      <c r="H215" s="13" t="s">
        <v>412</v>
      </c>
      <c r="I215" s="36"/>
      <c r="J215" s="15"/>
      <c r="K215" s="15"/>
      <c r="L215" s="15"/>
      <c r="M215" s="16"/>
      <c r="N215" s="1"/>
      <c r="O215" s="1"/>
      <c r="P215" s="1"/>
    </row>
    <row r="216" spans="1:16" x14ac:dyDescent="0.25">
      <c r="A216" s="13" t="s">
        <v>1196</v>
      </c>
      <c r="B216" s="13" t="s">
        <v>1197</v>
      </c>
      <c r="C216" s="20" t="s">
        <v>1458</v>
      </c>
      <c r="D216" s="13" t="s">
        <v>249</v>
      </c>
      <c r="E216" s="13" t="s">
        <v>411</v>
      </c>
      <c r="F216" s="13" t="s">
        <v>157</v>
      </c>
      <c r="G216" s="21">
        <v>43334</v>
      </c>
      <c r="H216" s="13" t="s">
        <v>389</v>
      </c>
      <c r="I216" s="36"/>
      <c r="J216" s="15"/>
      <c r="K216" s="15"/>
      <c r="L216" s="15"/>
      <c r="M216" s="16"/>
      <c r="N216" s="1"/>
      <c r="O216" s="1"/>
      <c r="P216" s="1"/>
    </row>
    <row r="217" spans="1:16" x14ac:dyDescent="0.25">
      <c r="A217" s="13" t="s">
        <v>1205</v>
      </c>
      <c r="B217" s="13" t="s">
        <v>1206</v>
      </c>
      <c r="C217" s="20" t="s">
        <v>1458</v>
      </c>
      <c r="D217" s="13" t="s">
        <v>249</v>
      </c>
      <c r="E217" s="13" t="s">
        <v>411</v>
      </c>
      <c r="F217" s="13" t="s">
        <v>157</v>
      </c>
      <c r="G217" s="21">
        <v>43368</v>
      </c>
      <c r="H217" s="13" t="s">
        <v>412</v>
      </c>
      <c r="I217" s="36"/>
      <c r="J217" s="15"/>
      <c r="K217" s="15"/>
      <c r="L217" s="15"/>
      <c r="M217" s="16"/>
      <c r="N217" s="1"/>
      <c r="O217" s="1"/>
      <c r="P217" s="1"/>
    </row>
    <row r="218" spans="1:16" x14ac:dyDescent="0.25">
      <c r="A218" s="13" t="s">
        <v>1209</v>
      </c>
      <c r="B218" s="13" t="s">
        <v>1210</v>
      </c>
      <c r="C218" s="20" t="s">
        <v>1458</v>
      </c>
      <c r="D218" s="13" t="s">
        <v>249</v>
      </c>
      <c r="E218" s="13" t="s">
        <v>411</v>
      </c>
      <c r="F218" s="13" t="s">
        <v>157</v>
      </c>
      <c r="G218" s="21">
        <v>43370</v>
      </c>
      <c r="H218" s="13" t="s">
        <v>389</v>
      </c>
      <c r="I218" s="36"/>
      <c r="J218" s="15"/>
      <c r="K218" s="15"/>
      <c r="L218" s="15"/>
      <c r="M218" s="16"/>
      <c r="N218" s="1"/>
      <c r="O218" s="1"/>
      <c r="P218" s="1"/>
    </row>
    <row r="219" spans="1:16" x14ac:dyDescent="0.25">
      <c r="A219" s="13" t="s">
        <v>1211</v>
      </c>
      <c r="B219" s="13" t="s">
        <v>1212</v>
      </c>
      <c r="C219" s="20" t="s">
        <v>1458</v>
      </c>
      <c r="D219" s="13" t="s">
        <v>249</v>
      </c>
      <c r="E219" s="13" t="s">
        <v>411</v>
      </c>
      <c r="F219" s="13" t="s">
        <v>157</v>
      </c>
      <c r="G219" s="21">
        <v>43370</v>
      </c>
      <c r="H219" s="13" t="s">
        <v>389</v>
      </c>
      <c r="I219" s="36"/>
      <c r="J219" s="15"/>
      <c r="K219" s="15"/>
      <c r="L219" s="15"/>
      <c r="M219" s="16"/>
      <c r="N219" s="1"/>
      <c r="O219" s="1"/>
      <c r="P219" s="1"/>
    </row>
    <row r="220" spans="1:16" x14ac:dyDescent="0.25">
      <c r="A220" s="13" t="s">
        <v>1213</v>
      </c>
      <c r="B220" s="13" t="s">
        <v>1214</v>
      </c>
      <c r="C220" s="20" t="s">
        <v>1458</v>
      </c>
      <c r="D220" s="13" t="s">
        <v>249</v>
      </c>
      <c r="E220" s="13" t="s">
        <v>411</v>
      </c>
      <c r="F220" s="13" t="s">
        <v>157</v>
      </c>
      <c r="G220" s="21">
        <v>43371</v>
      </c>
      <c r="H220" s="13" t="s">
        <v>389</v>
      </c>
      <c r="I220" s="36"/>
      <c r="J220" s="15"/>
      <c r="K220" s="15"/>
      <c r="L220" s="15"/>
      <c r="M220" s="16"/>
      <c r="N220" s="1"/>
      <c r="O220" s="1"/>
      <c r="P220" s="1"/>
    </row>
    <row r="221" spans="1:16" x14ac:dyDescent="0.25">
      <c r="A221" s="13" t="s">
        <v>1215</v>
      </c>
      <c r="B221" s="13" t="s">
        <v>1216</v>
      </c>
      <c r="C221" s="20" t="s">
        <v>1458</v>
      </c>
      <c r="D221" s="13" t="s">
        <v>249</v>
      </c>
      <c r="E221" s="13" t="s">
        <v>411</v>
      </c>
      <c r="F221" s="13" t="s">
        <v>157</v>
      </c>
      <c r="G221" s="21">
        <v>43371</v>
      </c>
      <c r="H221" s="13" t="s">
        <v>389</v>
      </c>
      <c r="I221" s="36"/>
      <c r="J221" s="15"/>
      <c r="K221" s="15"/>
      <c r="L221" s="15"/>
      <c r="M221" s="16"/>
      <c r="N221" s="1"/>
      <c r="O221" s="1"/>
      <c r="P221" s="1"/>
    </row>
    <row r="222" spans="1:16" x14ac:dyDescent="0.25">
      <c r="A222" s="13" t="s">
        <v>1217</v>
      </c>
      <c r="B222" s="13" t="s">
        <v>1218</v>
      </c>
      <c r="C222" s="20" t="s">
        <v>1458</v>
      </c>
      <c r="D222" s="13" t="s">
        <v>249</v>
      </c>
      <c r="E222" s="13" t="s">
        <v>411</v>
      </c>
      <c r="F222" s="13" t="s">
        <v>157</v>
      </c>
      <c r="G222" s="21">
        <v>43371</v>
      </c>
      <c r="H222" s="13" t="s">
        <v>389</v>
      </c>
      <c r="I222" s="36"/>
      <c r="J222" s="15"/>
      <c r="K222" s="15"/>
      <c r="L222" s="15"/>
      <c r="M222" s="16"/>
      <c r="N222" s="1"/>
      <c r="O222" s="1"/>
      <c r="P222" s="1"/>
    </row>
    <row r="223" spans="1:16" x14ac:dyDescent="0.25">
      <c r="A223" s="13" t="s">
        <v>1230</v>
      </c>
      <c r="B223" s="13" t="s">
        <v>1231</v>
      </c>
      <c r="C223" s="20" t="s">
        <v>1458</v>
      </c>
      <c r="D223" s="13" t="s">
        <v>249</v>
      </c>
      <c r="E223" s="13" t="s">
        <v>411</v>
      </c>
      <c r="F223" s="13" t="s">
        <v>157</v>
      </c>
      <c r="G223" s="21">
        <v>43383</v>
      </c>
      <c r="H223" s="13" t="s">
        <v>389</v>
      </c>
      <c r="I223" s="36"/>
      <c r="J223" s="15"/>
      <c r="K223" s="15"/>
      <c r="L223" s="15"/>
      <c r="M223" s="16"/>
      <c r="N223" s="1"/>
      <c r="O223" s="1"/>
      <c r="P223" s="1"/>
    </row>
    <row r="224" spans="1:16" x14ac:dyDescent="0.25">
      <c r="A224" s="13" t="s">
        <v>1234</v>
      </c>
      <c r="B224" s="13" t="s">
        <v>1235</v>
      </c>
      <c r="C224" s="20" t="s">
        <v>1458</v>
      </c>
      <c r="D224" s="13" t="s">
        <v>249</v>
      </c>
      <c r="E224" s="13" t="s">
        <v>411</v>
      </c>
      <c r="F224" s="13" t="s">
        <v>157</v>
      </c>
      <c r="G224" s="21">
        <v>43383</v>
      </c>
      <c r="H224" s="13" t="s">
        <v>389</v>
      </c>
      <c r="I224" s="36"/>
      <c r="J224" s="15"/>
      <c r="K224" s="15"/>
      <c r="L224" s="15"/>
      <c r="M224" s="16"/>
      <c r="N224" s="1"/>
      <c r="O224" s="1"/>
      <c r="P224" s="1"/>
    </row>
    <row r="225" spans="1:16" x14ac:dyDescent="0.25">
      <c r="A225" s="13" t="s">
        <v>1238</v>
      </c>
      <c r="B225" s="13" t="s">
        <v>1239</v>
      </c>
      <c r="C225" s="20" t="s">
        <v>1458</v>
      </c>
      <c r="D225" s="13" t="s">
        <v>249</v>
      </c>
      <c r="E225" s="13" t="s">
        <v>411</v>
      </c>
      <c r="F225" s="13" t="s">
        <v>157</v>
      </c>
      <c r="G225" s="21">
        <v>43383</v>
      </c>
      <c r="H225" s="13" t="s">
        <v>389</v>
      </c>
      <c r="I225" s="36"/>
      <c r="J225" s="15"/>
      <c r="K225" s="15"/>
      <c r="L225" s="15"/>
      <c r="M225" s="16"/>
      <c r="N225" s="1"/>
      <c r="O225" s="1"/>
      <c r="P225" s="1"/>
    </row>
    <row r="226" spans="1:16" x14ac:dyDescent="0.25">
      <c r="A226" s="13" t="s">
        <v>1243</v>
      </c>
      <c r="B226" s="13" t="s">
        <v>1244</v>
      </c>
      <c r="C226" s="20" t="s">
        <v>1458</v>
      </c>
      <c r="D226" s="13" t="s">
        <v>249</v>
      </c>
      <c r="E226" s="13" t="s">
        <v>411</v>
      </c>
      <c r="F226" s="13" t="s">
        <v>157</v>
      </c>
      <c r="G226" s="21">
        <v>43388</v>
      </c>
      <c r="H226" s="13" t="s">
        <v>389</v>
      </c>
      <c r="I226" s="36"/>
      <c r="J226" s="15"/>
      <c r="K226" s="15"/>
      <c r="L226" s="15"/>
      <c r="M226" s="16"/>
      <c r="N226" s="1"/>
      <c r="O226" s="1"/>
      <c r="P226" s="1"/>
    </row>
    <row r="227" spans="1:16" x14ac:dyDescent="0.25">
      <c r="A227" s="13" t="s">
        <v>1245</v>
      </c>
      <c r="B227" s="13" t="s">
        <v>1246</v>
      </c>
      <c r="C227" s="20" t="s">
        <v>1458</v>
      </c>
      <c r="D227" s="13" t="s">
        <v>249</v>
      </c>
      <c r="E227" s="13" t="s">
        <v>411</v>
      </c>
      <c r="F227" s="13" t="s">
        <v>157</v>
      </c>
      <c r="G227" s="21">
        <v>43388</v>
      </c>
      <c r="H227" s="13" t="s">
        <v>389</v>
      </c>
      <c r="I227" s="36"/>
      <c r="J227" s="15"/>
      <c r="K227" s="15"/>
      <c r="L227" s="15"/>
      <c r="M227" s="16"/>
      <c r="N227" s="1"/>
      <c r="O227" s="1"/>
      <c r="P227" s="1"/>
    </row>
    <row r="228" spans="1:16" x14ac:dyDescent="0.25">
      <c r="A228" s="13" t="s">
        <v>1249</v>
      </c>
      <c r="B228" s="13" t="s">
        <v>1250</v>
      </c>
      <c r="C228" s="20" t="s">
        <v>1458</v>
      </c>
      <c r="D228" s="13" t="s">
        <v>249</v>
      </c>
      <c r="E228" s="13" t="s">
        <v>411</v>
      </c>
      <c r="F228" s="13" t="s">
        <v>157</v>
      </c>
      <c r="G228" s="21">
        <v>43388</v>
      </c>
      <c r="H228" s="13" t="s">
        <v>389</v>
      </c>
      <c r="I228" s="36"/>
      <c r="J228" s="15"/>
      <c r="K228" s="15"/>
      <c r="L228" s="15"/>
      <c r="M228" s="16"/>
      <c r="N228" s="1"/>
      <c r="O228" s="1"/>
      <c r="P228" s="1"/>
    </row>
    <row r="229" spans="1:16" x14ac:dyDescent="0.25">
      <c r="A229" s="13" t="s">
        <v>1255</v>
      </c>
      <c r="B229" s="13" t="s">
        <v>1256</v>
      </c>
      <c r="C229" s="20" t="s">
        <v>1458</v>
      </c>
      <c r="D229" s="13" t="s">
        <v>249</v>
      </c>
      <c r="E229" s="13" t="s">
        <v>411</v>
      </c>
      <c r="F229" s="13" t="s">
        <v>157</v>
      </c>
      <c r="G229" s="21">
        <v>43390</v>
      </c>
      <c r="H229" s="13" t="s">
        <v>389</v>
      </c>
      <c r="I229" s="36"/>
      <c r="J229" s="15"/>
      <c r="K229" s="15"/>
      <c r="L229" s="15"/>
      <c r="M229" s="16"/>
      <c r="N229" s="1"/>
      <c r="O229" s="1"/>
      <c r="P229" s="1"/>
    </row>
    <row r="230" spans="1:16" x14ac:dyDescent="0.25">
      <c r="A230" s="13" t="s">
        <v>1264</v>
      </c>
      <c r="B230" s="13" t="s">
        <v>1265</v>
      </c>
      <c r="C230" s="20" t="s">
        <v>1458</v>
      </c>
      <c r="D230" s="13" t="s">
        <v>249</v>
      </c>
      <c r="E230" s="13" t="s">
        <v>411</v>
      </c>
      <c r="F230" s="13" t="s">
        <v>157</v>
      </c>
      <c r="G230" s="21">
        <v>43395</v>
      </c>
      <c r="H230" s="13" t="s">
        <v>389</v>
      </c>
      <c r="I230" s="36"/>
      <c r="J230" s="15"/>
      <c r="K230" s="15"/>
      <c r="L230" s="15"/>
      <c r="M230" s="16"/>
      <c r="N230" s="1"/>
      <c r="O230" s="1"/>
      <c r="P230" s="1"/>
    </row>
    <row r="231" spans="1:16" x14ac:dyDescent="0.25">
      <c r="A231" s="13" t="s">
        <v>1268</v>
      </c>
      <c r="B231" s="13" t="s">
        <v>1269</v>
      </c>
      <c r="C231" s="20" t="s">
        <v>1458</v>
      </c>
      <c r="D231" s="13" t="s">
        <v>249</v>
      </c>
      <c r="E231" s="13" t="s">
        <v>411</v>
      </c>
      <c r="F231" s="13" t="s">
        <v>157</v>
      </c>
      <c r="G231" s="21">
        <v>43395</v>
      </c>
      <c r="H231" s="13" t="s">
        <v>389</v>
      </c>
      <c r="I231" s="36"/>
      <c r="J231" s="15"/>
      <c r="K231" s="15"/>
      <c r="L231" s="15"/>
      <c r="M231" s="16"/>
      <c r="N231" s="1"/>
      <c r="O231" s="1"/>
      <c r="P231" s="1"/>
    </row>
    <row r="232" spans="1:16" x14ac:dyDescent="0.25">
      <c r="A232" s="13" t="s">
        <v>1272</v>
      </c>
      <c r="B232" s="13" t="s">
        <v>1273</v>
      </c>
      <c r="C232" s="20" t="s">
        <v>1458</v>
      </c>
      <c r="D232" s="13" t="s">
        <v>249</v>
      </c>
      <c r="E232" s="13" t="s">
        <v>411</v>
      </c>
      <c r="F232" s="13" t="s">
        <v>157</v>
      </c>
      <c r="G232" s="21">
        <v>43395</v>
      </c>
      <c r="H232" s="13" t="s">
        <v>389</v>
      </c>
      <c r="I232" s="36"/>
      <c r="J232" s="15"/>
      <c r="K232" s="15"/>
      <c r="L232" s="15"/>
      <c r="M232" s="16"/>
      <c r="N232" s="1"/>
      <c r="O232" s="1"/>
      <c r="P232" s="1"/>
    </row>
    <row r="233" spans="1:16" x14ac:dyDescent="0.25">
      <c r="A233" s="13" t="s">
        <v>1494</v>
      </c>
      <c r="B233" s="13" t="s">
        <v>1495</v>
      </c>
      <c r="C233" s="20" t="s">
        <v>1458</v>
      </c>
      <c r="D233" s="13" t="s">
        <v>249</v>
      </c>
      <c r="E233" s="13" t="s">
        <v>506</v>
      </c>
      <c r="F233" s="13" t="s">
        <v>157</v>
      </c>
      <c r="G233" s="21">
        <v>43521</v>
      </c>
      <c r="H233" s="13" t="s">
        <v>358</v>
      </c>
      <c r="I233" s="36"/>
      <c r="J233" s="15"/>
      <c r="K233" s="15"/>
      <c r="L233" s="15"/>
      <c r="M233" s="16"/>
      <c r="N233" s="1"/>
      <c r="O233" s="1"/>
      <c r="P233" s="1"/>
    </row>
    <row r="234" spans="1:16" x14ac:dyDescent="0.25">
      <c r="A234" s="13" t="s">
        <v>1496</v>
      </c>
      <c r="B234" s="13" t="s">
        <v>1497</v>
      </c>
      <c r="C234" s="20" t="s">
        <v>1458</v>
      </c>
      <c r="D234" s="13" t="s">
        <v>249</v>
      </c>
      <c r="E234" s="13" t="s">
        <v>232</v>
      </c>
      <c r="F234" s="13" t="s">
        <v>157</v>
      </c>
      <c r="G234" s="21">
        <v>43522</v>
      </c>
      <c r="H234" s="13" t="s">
        <v>592</v>
      </c>
      <c r="I234" s="36"/>
      <c r="J234" s="15"/>
      <c r="K234" s="15"/>
      <c r="L234" s="15"/>
      <c r="M234" s="16"/>
      <c r="N234" s="1"/>
      <c r="O234" s="1"/>
      <c r="P234" s="1"/>
    </row>
    <row r="235" spans="1:16" x14ac:dyDescent="0.25">
      <c r="A235" s="13" t="s">
        <v>1498</v>
      </c>
      <c r="B235" s="13" t="s">
        <v>1499</v>
      </c>
      <c r="C235" s="20" t="s">
        <v>1458</v>
      </c>
      <c r="D235" s="13" t="s">
        <v>249</v>
      </c>
      <c r="E235" s="13" t="s">
        <v>232</v>
      </c>
      <c r="F235" s="13" t="s">
        <v>157</v>
      </c>
      <c r="G235" s="21">
        <v>43529</v>
      </c>
      <c r="H235" s="13" t="s">
        <v>592</v>
      </c>
      <c r="I235" s="36"/>
      <c r="J235" s="15"/>
      <c r="K235" s="15"/>
      <c r="L235" s="15"/>
      <c r="M235" s="16"/>
      <c r="N235" s="1"/>
      <c r="O235" s="1"/>
      <c r="P235" s="1"/>
    </row>
    <row r="236" spans="1:16" x14ac:dyDescent="0.25">
      <c r="A236" s="13" t="s">
        <v>357</v>
      </c>
      <c r="B236" s="13" t="s">
        <v>358</v>
      </c>
      <c r="C236" s="20" t="s">
        <v>1458</v>
      </c>
      <c r="D236" s="13" t="s">
        <v>249</v>
      </c>
      <c r="E236" s="13" t="s">
        <v>359</v>
      </c>
      <c r="F236" s="13" t="s">
        <v>24</v>
      </c>
      <c r="G236" s="21">
        <v>42493</v>
      </c>
      <c r="H236" s="13" t="s">
        <v>62</v>
      </c>
      <c r="I236" s="36"/>
      <c r="J236" s="15"/>
      <c r="K236" s="15"/>
      <c r="L236" s="15"/>
      <c r="M236" s="16"/>
      <c r="N236" s="1"/>
      <c r="O236" s="1"/>
      <c r="P236" s="1"/>
    </row>
    <row r="237" spans="1:16" x14ac:dyDescent="0.25">
      <c r="A237" s="13" t="s">
        <v>472</v>
      </c>
      <c r="B237" s="13" t="s">
        <v>473</v>
      </c>
      <c r="C237" s="20" t="s">
        <v>1458</v>
      </c>
      <c r="D237" s="13" t="s">
        <v>474</v>
      </c>
      <c r="E237" s="13" t="s">
        <v>475</v>
      </c>
      <c r="F237" s="13" t="s">
        <v>56</v>
      </c>
      <c r="G237" s="21">
        <v>42576</v>
      </c>
      <c r="H237" s="13" t="s">
        <v>62</v>
      </c>
      <c r="I237" s="36"/>
      <c r="J237" s="15"/>
      <c r="K237" s="15"/>
      <c r="L237" s="15"/>
      <c r="M237" s="16"/>
      <c r="N237" s="1"/>
      <c r="O237" s="1"/>
      <c r="P237" s="1"/>
    </row>
    <row r="238" spans="1:16" x14ac:dyDescent="0.25">
      <c r="A238" s="13" t="s">
        <v>719</v>
      </c>
      <c r="B238" s="13" t="s">
        <v>720</v>
      </c>
      <c r="C238" s="20" t="s">
        <v>1458</v>
      </c>
      <c r="D238" s="13" t="s">
        <v>474</v>
      </c>
      <c r="E238" s="13" t="s">
        <v>721</v>
      </c>
      <c r="F238" s="13" t="s">
        <v>56</v>
      </c>
      <c r="G238" s="21">
        <v>42849</v>
      </c>
      <c r="H238" s="13" t="s">
        <v>473</v>
      </c>
      <c r="I238" s="36"/>
      <c r="J238" s="15"/>
      <c r="K238" s="15"/>
      <c r="L238" s="15"/>
      <c r="M238" s="16"/>
      <c r="N238" s="1"/>
      <c r="O238" s="1"/>
      <c r="P238" s="1"/>
    </row>
    <row r="239" spans="1:16" x14ac:dyDescent="0.25">
      <c r="A239" s="13" t="s">
        <v>937</v>
      </c>
      <c r="B239" s="13" t="s">
        <v>938</v>
      </c>
      <c r="C239" s="20" t="s">
        <v>1458</v>
      </c>
      <c r="D239" s="13" t="s">
        <v>474</v>
      </c>
      <c r="E239" s="13" t="s">
        <v>939</v>
      </c>
      <c r="F239" s="13" t="s">
        <v>12</v>
      </c>
      <c r="G239" s="21">
        <v>43206</v>
      </c>
      <c r="H239" s="13" t="s">
        <v>473</v>
      </c>
      <c r="I239" s="36"/>
      <c r="J239" s="15"/>
      <c r="K239" s="15"/>
      <c r="L239" s="15"/>
      <c r="M239" s="16"/>
      <c r="N239" s="1"/>
      <c r="O239" s="1"/>
      <c r="P239" s="1"/>
    </row>
    <row r="240" spans="1:16" x14ac:dyDescent="0.25">
      <c r="A240" s="13" t="s">
        <v>1054</v>
      </c>
      <c r="B240" s="13" t="s">
        <v>1055</v>
      </c>
      <c r="C240" s="20" t="s">
        <v>1458</v>
      </c>
      <c r="D240" s="13" t="s">
        <v>474</v>
      </c>
      <c r="E240" s="13" t="s">
        <v>939</v>
      </c>
      <c r="F240" s="13" t="s">
        <v>12</v>
      </c>
      <c r="G240" s="21">
        <v>43264</v>
      </c>
      <c r="H240" s="13" t="s">
        <v>473</v>
      </c>
      <c r="I240" s="36"/>
      <c r="J240" s="15"/>
      <c r="K240" s="15"/>
      <c r="L240" s="15"/>
      <c r="M240" s="16"/>
      <c r="N240" s="1"/>
      <c r="O240" s="1"/>
      <c r="P240" s="1"/>
    </row>
    <row r="241" spans="1:16" x14ac:dyDescent="0.25">
      <c r="A241" s="13" t="s">
        <v>1069</v>
      </c>
      <c r="B241" s="13" t="s">
        <v>1070</v>
      </c>
      <c r="C241" s="20" t="s">
        <v>1458</v>
      </c>
      <c r="D241" s="13" t="s">
        <v>474</v>
      </c>
      <c r="E241" s="13" t="s">
        <v>939</v>
      </c>
      <c r="F241" s="13" t="s">
        <v>12</v>
      </c>
      <c r="G241" s="21">
        <v>43270</v>
      </c>
      <c r="H241" s="13" t="s">
        <v>473</v>
      </c>
      <c r="I241" s="36"/>
      <c r="J241" s="15"/>
      <c r="K241" s="15"/>
      <c r="L241" s="15"/>
      <c r="M241" s="16"/>
      <c r="N241" s="1"/>
      <c r="O241" s="1"/>
      <c r="P241" s="1"/>
    </row>
    <row r="242" spans="1:16" x14ac:dyDescent="0.25">
      <c r="A242" s="13" t="s">
        <v>1162</v>
      </c>
      <c r="B242" s="13" t="s">
        <v>1163</v>
      </c>
      <c r="C242" s="20" t="s">
        <v>1458</v>
      </c>
      <c r="D242" s="13" t="s">
        <v>474</v>
      </c>
      <c r="E242" s="13" t="s">
        <v>1164</v>
      </c>
      <c r="F242" s="13" t="s">
        <v>80</v>
      </c>
      <c r="G242" s="21">
        <v>43305</v>
      </c>
      <c r="H242" s="13" t="s">
        <v>473</v>
      </c>
      <c r="I242" s="36"/>
      <c r="J242" s="15"/>
      <c r="K242" s="15"/>
      <c r="L242" s="15"/>
      <c r="M242" s="16"/>
      <c r="N242" s="1"/>
      <c r="O242" s="1"/>
      <c r="P242" s="1"/>
    </row>
    <row r="243" spans="1:16" x14ac:dyDescent="0.25">
      <c r="A243" s="13" t="s">
        <v>1169</v>
      </c>
      <c r="B243" s="13" t="s">
        <v>1170</v>
      </c>
      <c r="C243" s="20" t="s">
        <v>1458</v>
      </c>
      <c r="D243" s="13" t="s">
        <v>474</v>
      </c>
      <c r="E243" s="13" t="s">
        <v>721</v>
      </c>
      <c r="F243" s="13" t="s">
        <v>56</v>
      </c>
      <c r="G243" s="21">
        <v>43313</v>
      </c>
      <c r="H243" s="13" t="s">
        <v>473</v>
      </c>
      <c r="I243" s="36"/>
      <c r="J243" s="15"/>
      <c r="K243" s="15"/>
      <c r="L243" s="15"/>
      <c r="M243" s="16"/>
      <c r="N243" s="1"/>
      <c r="O243" s="1"/>
      <c r="P243" s="1"/>
    </row>
    <row r="244" spans="1:16" x14ac:dyDescent="0.25">
      <c r="A244" s="13" t="s">
        <v>896</v>
      </c>
      <c r="B244" s="13" t="s">
        <v>897</v>
      </c>
      <c r="C244" s="20" t="s">
        <v>1458</v>
      </c>
      <c r="D244" s="13"/>
      <c r="E244" s="13" t="s">
        <v>235</v>
      </c>
      <c r="F244" s="13" t="s">
        <v>56</v>
      </c>
      <c r="G244" s="21">
        <v>43186</v>
      </c>
      <c r="H244" s="13" t="s">
        <v>236</v>
      </c>
      <c r="I244" s="36"/>
      <c r="J244" s="15"/>
      <c r="K244" s="15"/>
      <c r="L244" s="15"/>
      <c r="M244" s="16"/>
      <c r="N244" s="1"/>
      <c r="O244" s="1"/>
      <c r="P244" s="1"/>
    </row>
    <row r="245" spans="1:16" x14ac:dyDescent="0.25">
      <c r="A245" s="13" t="s">
        <v>83</v>
      </c>
      <c r="B245" s="13" t="s">
        <v>84</v>
      </c>
      <c r="C245" s="20" t="s">
        <v>1458</v>
      </c>
      <c r="D245" s="13"/>
      <c r="E245" s="13" t="s">
        <v>85</v>
      </c>
      <c r="F245" s="13" t="s">
        <v>80</v>
      </c>
      <c r="G245" s="21">
        <v>41834</v>
      </c>
      <c r="H245" s="13" t="s">
        <v>58</v>
      </c>
      <c r="I245" s="36"/>
      <c r="J245" s="15"/>
      <c r="K245" s="15"/>
      <c r="L245" s="15"/>
      <c r="M245" s="16"/>
      <c r="N245" s="1"/>
      <c r="O245" s="1"/>
      <c r="P245" s="1"/>
    </row>
    <row r="246" spans="1:16" x14ac:dyDescent="0.25">
      <c r="A246" s="13" t="s">
        <v>1071</v>
      </c>
      <c r="B246" s="13" t="s">
        <v>1072</v>
      </c>
      <c r="C246" s="20" t="s">
        <v>1458</v>
      </c>
      <c r="D246" s="13"/>
      <c r="E246" s="13" t="s">
        <v>85</v>
      </c>
      <c r="F246" s="13" t="s">
        <v>55</v>
      </c>
      <c r="G246" s="21">
        <v>43270</v>
      </c>
      <c r="H246" s="13" t="s">
        <v>58</v>
      </c>
      <c r="I246" s="36"/>
      <c r="J246" s="15"/>
      <c r="K246" s="15"/>
      <c r="L246" s="15"/>
      <c r="M246" s="16"/>
      <c r="N246" s="1"/>
      <c r="O246" s="1"/>
      <c r="P246" s="1"/>
    </row>
    <row r="247" spans="1:16" x14ac:dyDescent="0.25">
      <c r="A247" s="13" t="s">
        <v>1123</v>
      </c>
      <c r="B247" s="13" t="s">
        <v>1124</v>
      </c>
      <c r="C247" s="20" t="s">
        <v>1458</v>
      </c>
      <c r="D247" s="13"/>
      <c r="E247" s="13" t="s">
        <v>85</v>
      </c>
      <c r="F247" s="13" t="s">
        <v>12</v>
      </c>
      <c r="G247" s="21">
        <v>43297</v>
      </c>
      <c r="H247" s="13" t="s">
        <v>58</v>
      </c>
      <c r="I247" s="36"/>
      <c r="J247" s="15"/>
      <c r="K247" s="15"/>
      <c r="L247" s="15"/>
      <c r="M247" s="16"/>
      <c r="N247" s="1"/>
      <c r="O247" s="1"/>
      <c r="P247" s="1"/>
    </row>
    <row r="248" spans="1:16" x14ac:dyDescent="0.25">
      <c r="A248" s="13" t="s">
        <v>110</v>
      </c>
      <c r="B248" s="13" t="s">
        <v>111</v>
      </c>
      <c r="C248" s="20" t="s">
        <v>1458</v>
      </c>
      <c r="D248" s="13" t="s">
        <v>1482</v>
      </c>
      <c r="E248" s="13" t="s">
        <v>112</v>
      </c>
      <c r="F248" s="13" t="s">
        <v>55</v>
      </c>
      <c r="G248" s="21">
        <v>41961</v>
      </c>
      <c r="H248" s="13" t="s">
        <v>67</v>
      </c>
      <c r="I248" s="36"/>
      <c r="J248" s="15"/>
      <c r="K248" s="15"/>
      <c r="L248" s="15"/>
      <c r="M248" s="16"/>
      <c r="N248" s="1"/>
      <c r="O248" s="1"/>
      <c r="P248" s="1"/>
    </row>
    <row r="249" spans="1:16" x14ac:dyDescent="0.25">
      <c r="A249" s="13" t="s">
        <v>194</v>
      </c>
      <c r="B249" s="13" t="s">
        <v>195</v>
      </c>
      <c r="C249" s="20" t="s">
        <v>1458</v>
      </c>
      <c r="D249" s="13" t="s">
        <v>1482</v>
      </c>
      <c r="E249" s="13" t="s">
        <v>115</v>
      </c>
      <c r="F249" s="13" t="s">
        <v>93</v>
      </c>
      <c r="G249" s="21">
        <v>42261</v>
      </c>
      <c r="H249" s="13" t="s">
        <v>91</v>
      </c>
      <c r="I249" s="36"/>
      <c r="J249" s="15"/>
      <c r="K249" s="15"/>
      <c r="L249" s="15"/>
      <c r="M249" s="16"/>
      <c r="N249" s="1"/>
      <c r="O249" s="1"/>
      <c r="P249" s="1"/>
    </row>
    <row r="250" spans="1:16" x14ac:dyDescent="0.25">
      <c r="A250" s="13" t="s">
        <v>277</v>
      </c>
      <c r="B250" s="13" t="s">
        <v>278</v>
      </c>
      <c r="C250" s="20" t="s">
        <v>1458</v>
      </c>
      <c r="D250" s="13" t="s">
        <v>1459</v>
      </c>
      <c r="E250" s="13" t="s">
        <v>279</v>
      </c>
      <c r="F250" s="13" t="s">
        <v>55</v>
      </c>
      <c r="G250" s="21">
        <v>42414</v>
      </c>
      <c r="H250" s="13" t="s">
        <v>21</v>
      </c>
      <c r="I250" s="36"/>
      <c r="J250" s="15"/>
      <c r="K250" s="15"/>
      <c r="L250" s="15"/>
      <c r="M250" s="16"/>
      <c r="N250" s="1"/>
      <c r="O250" s="1"/>
      <c r="P250" s="1"/>
    </row>
    <row r="251" spans="1:16" x14ac:dyDescent="0.25">
      <c r="A251" s="13" t="s">
        <v>318</v>
      </c>
      <c r="B251" s="13" t="s">
        <v>319</v>
      </c>
      <c r="C251" s="20" t="s">
        <v>1458</v>
      </c>
      <c r="D251" s="13" t="s">
        <v>1482</v>
      </c>
      <c r="E251" s="13" t="s">
        <v>320</v>
      </c>
      <c r="F251" s="13" t="s">
        <v>93</v>
      </c>
      <c r="G251" s="21">
        <v>42461</v>
      </c>
      <c r="H251" s="13" t="s">
        <v>67</v>
      </c>
      <c r="I251" s="36"/>
      <c r="J251" s="15"/>
      <c r="K251" s="15"/>
      <c r="L251" s="15"/>
      <c r="M251" s="16"/>
      <c r="N251" s="1"/>
      <c r="O251" s="1"/>
      <c r="P251" s="1"/>
    </row>
    <row r="252" spans="1:16" x14ac:dyDescent="0.25">
      <c r="A252" s="13" t="s">
        <v>604</v>
      </c>
      <c r="B252" s="13" t="s">
        <v>605</v>
      </c>
      <c r="C252" s="20" t="s">
        <v>1458</v>
      </c>
      <c r="D252" s="13" t="s">
        <v>1465</v>
      </c>
      <c r="E252" s="13" t="s">
        <v>482</v>
      </c>
      <c r="F252" s="13" t="s">
        <v>157</v>
      </c>
      <c r="G252" s="21">
        <v>42693</v>
      </c>
      <c r="H252" s="13" t="s">
        <v>284</v>
      </c>
      <c r="I252" s="36"/>
      <c r="J252" s="15"/>
      <c r="K252" s="15"/>
      <c r="L252" s="15"/>
      <c r="M252" s="16"/>
      <c r="N252" s="1"/>
      <c r="O252" s="1"/>
      <c r="P252" s="1"/>
    </row>
    <row r="253" spans="1:16" x14ac:dyDescent="0.25">
      <c r="A253" s="13" t="s">
        <v>649</v>
      </c>
      <c r="B253" s="13" t="s">
        <v>650</v>
      </c>
      <c r="C253" s="20" t="s">
        <v>1458</v>
      </c>
      <c r="D253" s="13" t="s">
        <v>364</v>
      </c>
      <c r="E253" s="13" t="s">
        <v>651</v>
      </c>
      <c r="F253" s="13" t="s">
        <v>12</v>
      </c>
      <c r="G253" s="21">
        <v>42744</v>
      </c>
      <c r="H253" s="13" t="s">
        <v>500</v>
      </c>
      <c r="I253" s="36"/>
      <c r="J253" s="15"/>
      <c r="K253" s="15"/>
      <c r="L253" s="15"/>
      <c r="M253" s="16"/>
      <c r="N253" s="1"/>
      <c r="O253" s="1"/>
      <c r="P253" s="1"/>
    </row>
    <row r="254" spans="1:16" x14ac:dyDescent="0.25">
      <c r="A254" s="13" t="s">
        <v>682</v>
      </c>
      <c r="B254" s="13" t="s">
        <v>683</v>
      </c>
      <c r="C254" s="20" t="s">
        <v>1458</v>
      </c>
      <c r="D254" s="13" t="s">
        <v>1465</v>
      </c>
      <c r="E254" s="13" t="s">
        <v>478</v>
      </c>
      <c r="F254" s="13" t="s">
        <v>93</v>
      </c>
      <c r="G254" s="21">
        <v>42795</v>
      </c>
      <c r="H254" s="13" t="s">
        <v>284</v>
      </c>
      <c r="I254" s="36"/>
      <c r="J254" s="15"/>
      <c r="K254" s="15"/>
      <c r="L254" s="15"/>
      <c r="M254" s="16"/>
      <c r="N254" s="1"/>
      <c r="O254" s="1"/>
      <c r="P254" s="1"/>
    </row>
    <row r="255" spans="1:16" x14ac:dyDescent="0.25">
      <c r="A255" s="13" t="s">
        <v>688</v>
      </c>
      <c r="B255" s="13" t="s">
        <v>689</v>
      </c>
      <c r="C255" s="20" t="s">
        <v>1458</v>
      </c>
      <c r="D255" s="13" t="s">
        <v>249</v>
      </c>
      <c r="E255" s="13" t="s">
        <v>411</v>
      </c>
      <c r="F255" s="13" t="s">
        <v>157</v>
      </c>
      <c r="G255" s="21">
        <v>42800</v>
      </c>
      <c r="H255" s="13" t="s">
        <v>460</v>
      </c>
      <c r="I255" s="36"/>
      <c r="J255" s="15"/>
      <c r="K255" s="15"/>
      <c r="L255" s="15"/>
      <c r="M255" s="16"/>
      <c r="N255" s="1"/>
      <c r="O255" s="1"/>
      <c r="P255" s="1"/>
    </row>
    <row r="256" spans="1:16" x14ac:dyDescent="0.25">
      <c r="A256" s="13" t="s">
        <v>704</v>
      </c>
      <c r="B256" s="13" t="s">
        <v>705</v>
      </c>
      <c r="C256" s="20" t="s">
        <v>1458</v>
      </c>
      <c r="D256" s="13" t="s">
        <v>249</v>
      </c>
      <c r="E256" s="13" t="s">
        <v>478</v>
      </c>
      <c r="F256" s="13" t="s">
        <v>55</v>
      </c>
      <c r="G256" s="21">
        <v>42830</v>
      </c>
      <c r="H256" s="13" t="s">
        <v>358</v>
      </c>
      <c r="I256" s="36"/>
      <c r="J256" s="15"/>
      <c r="K256" s="15"/>
      <c r="L256" s="15"/>
      <c r="M256" s="16"/>
      <c r="N256" s="1"/>
      <c r="O256" s="1"/>
      <c r="P256" s="1"/>
    </row>
    <row r="257" spans="1:16" x14ac:dyDescent="0.25">
      <c r="A257" s="13" t="s">
        <v>715</v>
      </c>
      <c r="B257" s="13" t="s">
        <v>716</v>
      </c>
      <c r="C257" s="20" t="s">
        <v>1458</v>
      </c>
      <c r="D257" s="13" t="s">
        <v>249</v>
      </c>
      <c r="E257" s="13" t="s">
        <v>411</v>
      </c>
      <c r="F257" s="13" t="s">
        <v>157</v>
      </c>
      <c r="G257" s="21">
        <v>42837</v>
      </c>
      <c r="H257" s="13" t="s">
        <v>388</v>
      </c>
      <c r="I257" s="36"/>
      <c r="J257" s="15"/>
      <c r="K257" s="15"/>
      <c r="L257" s="15"/>
      <c r="M257" s="16"/>
      <c r="N257" s="1"/>
      <c r="O257" s="1"/>
      <c r="P257" s="1"/>
    </row>
    <row r="258" spans="1:16" x14ac:dyDescent="0.25">
      <c r="A258" s="13" t="s">
        <v>755</v>
      </c>
      <c r="B258" s="13" t="s">
        <v>756</v>
      </c>
      <c r="C258" s="20" t="s">
        <v>1458</v>
      </c>
      <c r="D258" s="13" t="s">
        <v>249</v>
      </c>
      <c r="E258" s="13" t="s">
        <v>232</v>
      </c>
      <c r="F258" s="13" t="s">
        <v>55</v>
      </c>
      <c r="G258" s="21">
        <v>42921</v>
      </c>
      <c r="H258" s="13" t="s">
        <v>408</v>
      </c>
      <c r="I258" s="36"/>
      <c r="J258" s="15"/>
      <c r="K258" s="15"/>
      <c r="L258" s="15"/>
      <c r="M258" s="16"/>
      <c r="N258" s="1"/>
      <c r="O258" s="1"/>
      <c r="P258" s="1"/>
    </row>
    <row r="259" spans="1:16" x14ac:dyDescent="0.25">
      <c r="A259" s="13" t="s">
        <v>833</v>
      </c>
      <c r="B259" s="13" t="s">
        <v>834</v>
      </c>
      <c r="C259" s="20" t="s">
        <v>1458</v>
      </c>
      <c r="D259" s="13" t="s">
        <v>249</v>
      </c>
      <c r="E259" s="13" t="s">
        <v>411</v>
      </c>
      <c r="F259" s="13" t="s">
        <v>157</v>
      </c>
      <c r="G259" s="21">
        <v>43024</v>
      </c>
      <c r="H259" s="13" t="s">
        <v>460</v>
      </c>
      <c r="I259" s="36"/>
      <c r="J259" s="15"/>
      <c r="K259" s="15"/>
      <c r="L259" s="15"/>
      <c r="M259" s="16"/>
      <c r="N259" s="1"/>
      <c r="O259" s="1"/>
      <c r="P259" s="1"/>
    </row>
    <row r="260" spans="1:16" x14ac:dyDescent="0.25">
      <c r="A260" s="13" t="s">
        <v>876</v>
      </c>
      <c r="B260" s="13" t="s">
        <v>877</v>
      </c>
      <c r="C260" s="20" t="s">
        <v>1458</v>
      </c>
      <c r="D260" s="13" t="s">
        <v>249</v>
      </c>
      <c r="E260" s="13" t="s">
        <v>411</v>
      </c>
      <c r="F260" s="13" t="s">
        <v>157</v>
      </c>
      <c r="G260" s="21">
        <v>43131</v>
      </c>
      <c r="H260" s="13" t="s">
        <v>412</v>
      </c>
      <c r="I260" s="36"/>
      <c r="J260" s="15"/>
      <c r="K260" s="15"/>
      <c r="L260" s="15"/>
      <c r="M260" s="16"/>
      <c r="N260" s="1"/>
      <c r="O260" s="1"/>
      <c r="P260" s="1"/>
    </row>
    <row r="261" spans="1:16" x14ac:dyDescent="0.25">
      <c r="A261" s="13" t="s">
        <v>889</v>
      </c>
      <c r="B261" s="13" t="s">
        <v>890</v>
      </c>
      <c r="C261" s="20" t="s">
        <v>1458</v>
      </c>
      <c r="D261" s="13" t="s">
        <v>1465</v>
      </c>
      <c r="E261" s="13" t="s">
        <v>891</v>
      </c>
      <c r="F261" s="13" t="s">
        <v>38</v>
      </c>
      <c r="G261" s="21">
        <v>43163</v>
      </c>
      <c r="H261" s="13" t="s">
        <v>117</v>
      </c>
      <c r="I261" s="36"/>
      <c r="J261" s="15"/>
      <c r="K261" s="15"/>
      <c r="L261" s="15"/>
      <c r="M261" s="16"/>
      <c r="N261" s="1"/>
      <c r="O261" s="1"/>
      <c r="P261" s="1"/>
    </row>
    <row r="262" spans="1:16" x14ac:dyDescent="0.25">
      <c r="A262" s="13" t="s">
        <v>898</v>
      </c>
      <c r="B262" s="13" t="s">
        <v>899</v>
      </c>
      <c r="C262" s="20" t="s">
        <v>1458</v>
      </c>
      <c r="D262" s="13" t="s">
        <v>364</v>
      </c>
      <c r="E262" s="13" t="s">
        <v>900</v>
      </c>
      <c r="F262" s="13" t="s">
        <v>125</v>
      </c>
      <c r="G262" s="21">
        <v>43187</v>
      </c>
      <c r="H262" s="13" t="s">
        <v>500</v>
      </c>
      <c r="I262" s="36"/>
      <c r="J262" s="15"/>
      <c r="K262" s="15"/>
      <c r="L262" s="15"/>
      <c r="M262" s="16"/>
      <c r="N262" s="1"/>
      <c r="O262" s="1"/>
      <c r="P262" s="1"/>
    </row>
    <row r="263" spans="1:16" x14ac:dyDescent="0.25">
      <c r="A263" s="13" t="s">
        <v>903</v>
      </c>
      <c r="B263" s="13" t="s">
        <v>904</v>
      </c>
      <c r="C263" s="20" t="s">
        <v>1458</v>
      </c>
      <c r="D263" s="13" t="s">
        <v>1465</v>
      </c>
      <c r="E263" s="13" t="s">
        <v>905</v>
      </c>
      <c r="F263" s="13" t="s">
        <v>38</v>
      </c>
      <c r="G263" s="21">
        <v>43185</v>
      </c>
      <c r="H263" s="13" t="s">
        <v>117</v>
      </c>
      <c r="I263" s="36"/>
      <c r="J263" s="15"/>
      <c r="K263" s="15"/>
      <c r="L263" s="15"/>
      <c r="M263" s="16"/>
      <c r="N263" s="1"/>
      <c r="O263" s="1"/>
      <c r="P263" s="1"/>
    </row>
    <row r="264" spans="1:16" x14ac:dyDescent="0.25">
      <c r="A264" s="13" t="s">
        <v>973</v>
      </c>
      <c r="B264" s="13" t="s">
        <v>974</v>
      </c>
      <c r="C264" s="20" t="s">
        <v>1458</v>
      </c>
      <c r="D264" s="13" t="s">
        <v>249</v>
      </c>
      <c r="E264" s="13" t="s">
        <v>232</v>
      </c>
      <c r="F264" s="13" t="s">
        <v>157</v>
      </c>
      <c r="G264" s="21">
        <v>43229</v>
      </c>
      <c r="H264" s="13" t="s">
        <v>408</v>
      </c>
      <c r="I264" s="36"/>
      <c r="J264" s="15"/>
      <c r="K264" s="15"/>
      <c r="L264" s="15"/>
      <c r="M264" s="16"/>
      <c r="N264" s="1"/>
      <c r="O264" s="1"/>
      <c r="P264" s="1"/>
    </row>
    <row r="265" spans="1:16" x14ac:dyDescent="0.25">
      <c r="A265" s="13" t="s">
        <v>994</v>
      </c>
      <c r="B265" s="13" t="s">
        <v>995</v>
      </c>
      <c r="C265" s="20" t="s">
        <v>1458</v>
      </c>
      <c r="D265" s="13" t="s">
        <v>212</v>
      </c>
      <c r="E265" s="13" t="s">
        <v>996</v>
      </c>
      <c r="F265" s="13" t="s">
        <v>80</v>
      </c>
      <c r="G265" s="21">
        <v>43237</v>
      </c>
      <c r="H265" s="13" t="s">
        <v>219</v>
      </c>
      <c r="I265" s="36"/>
      <c r="J265" s="15"/>
      <c r="K265" s="15"/>
      <c r="L265" s="15"/>
      <c r="M265" s="16"/>
      <c r="N265" s="1"/>
      <c r="O265" s="1"/>
      <c r="P265" s="1"/>
    </row>
    <row r="266" spans="1:16" x14ac:dyDescent="0.25">
      <c r="A266" s="13" t="s">
        <v>1001</v>
      </c>
      <c r="B266" s="13" t="s">
        <v>1002</v>
      </c>
      <c r="C266" s="20" t="s">
        <v>1458</v>
      </c>
      <c r="D266" s="13" t="s">
        <v>1465</v>
      </c>
      <c r="E266" s="13" t="s">
        <v>905</v>
      </c>
      <c r="F266" s="13" t="s">
        <v>56</v>
      </c>
      <c r="G266" s="21">
        <v>43241</v>
      </c>
      <c r="H266" s="13" t="s">
        <v>117</v>
      </c>
      <c r="I266" s="36"/>
      <c r="J266" s="15"/>
      <c r="K266" s="15"/>
      <c r="L266" s="15"/>
      <c r="M266" s="16"/>
      <c r="N266" s="1"/>
      <c r="O266" s="1"/>
      <c r="P266" s="1"/>
    </row>
    <row r="267" spans="1:16" x14ac:dyDescent="0.25">
      <c r="A267" s="13" t="s">
        <v>1025</v>
      </c>
      <c r="B267" s="13" t="s">
        <v>1026</v>
      </c>
      <c r="C267" s="20" t="s">
        <v>1458</v>
      </c>
      <c r="D267" s="13" t="s">
        <v>212</v>
      </c>
      <c r="E267" s="13" t="s">
        <v>1027</v>
      </c>
      <c r="F267" s="13" t="s">
        <v>12</v>
      </c>
      <c r="G267" s="21">
        <v>43252</v>
      </c>
      <c r="H267" s="13" t="s">
        <v>995</v>
      </c>
      <c r="I267" s="36"/>
      <c r="J267" s="15"/>
      <c r="K267" s="15"/>
      <c r="L267" s="15"/>
      <c r="M267" s="16"/>
      <c r="N267" s="1"/>
      <c r="O267" s="1"/>
      <c r="P267" s="1"/>
    </row>
    <row r="268" spans="1:16" x14ac:dyDescent="0.25">
      <c r="A268" s="13" t="s">
        <v>1032</v>
      </c>
      <c r="B268" s="13" t="s">
        <v>1033</v>
      </c>
      <c r="C268" s="20" t="s">
        <v>1458</v>
      </c>
      <c r="D268" s="13" t="s">
        <v>212</v>
      </c>
      <c r="E268" s="13" t="s">
        <v>1027</v>
      </c>
      <c r="F268" s="13" t="s">
        <v>93</v>
      </c>
      <c r="G268" s="21">
        <v>43255</v>
      </c>
      <c r="H268" s="13" t="s">
        <v>1026</v>
      </c>
      <c r="I268" s="36"/>
      <c r="J268" s="15"/>
      <c r="K268" s="15"/>
      <c r="L268" s="15"/>
      <c r="M268" s="16"/>
      <c r="N268" s="1"/>
      <c r="O268" s="1"/>
      <c r="P268" s="1"/>
    </row>
    <row r="269" spans="1:16" x14ac:dyDescent="0.25">
      <c r="A269" s="13" t="s">
        <v>1049</v>
      </c>
      <c r="B269" s="13" t="s">
        <v>1050</v>
      </c>
      <c r="C269" s="20" t="s">
        <v>1458</v>
      </c>
      <c r="D269" s="13" t="s">
        <v>1465</v>
      </c>
      <c r="E269" s="13" t="s">
        <v>1051</v>
      </c>
      <c r="F269" s="13" t="s">
        <v>56</v>
      </c>
      <c r="G269" s="21">
        <v>43263</v>
      </c>
      <c r="H269" s="13" t="s">
        <v>117</v>
      </c>
      <c r="I269" s="36"/>
      <c r="J269" s="15"/>
      <c r="K269" s="15"/>
      <c r="L269" s="15"/>
      <c r="M269" s="16"/>
      <c r="N269" s="1"/>
      <c r="O269" s="1"/>
      <c r="P269" s="1"/>
    </row>
    <row r="270" spans="1:16" x14ac:dyDescent="0.25">
      <c r="A270" s="13" t="s">
        <v>1174</v>
      </c>
      <c r="B270" s="13" t="s">
        <v>1175</v>
      </c>
      <c r="C270" s="20" t="s">
        <v>1458</v>
      </c>
      <c r="D270" s="13" t="s">
        <v>1465</v>
      </c>
      <c r="E270" s="13" t="s">
        <v>1176</v>
      </c>
      <c r="F270" s="13" t="s">
        <v>80</v>
      </c>
      <c r="G270" s="21">
        <v>43318</v>
      </c>
      <c r="H270" s="13" t="s">
        <v>117</v>
      </c>
      <c r="I270" s="36"/>
      <c r="J270" s="15"/>
      <c r="K270" s="15"/>
      <c r="L270" s="15"/>
      <c r="M270" s="16"/>
      <c r="N270" s="1"/>
      <c r="O270" s="1"/>
      <c r="P270" s="1"/>
    </row>
    <row r="271" spans="1:16" x14ac:dyDescent="0.25">
      <c r="A271" s="13" t="s">
        <v>1219</v>
      </c>
      <c r="B271" s="13" t="s">
        <v>1220</v>
      </c>
      <c r="C271" s="20" t="s">
        <v>1458</v>
      </c>
      <c r="D271" s="13" t="s">
        <v>249</v>
      </c>
      <c r="E271" s="13" t="s">
        <v>411</v>
      </c>
      <c r="F271" s="13" t="s">
        <v>157</v>
      </c>
      <c r="G271" s="21">
        <v>43371</v>
      </c>
      <c r="H271" s="13" t="s">
        <v>389</v>
      </c>
      <c r="I271" s="36"/>
      <c r="J271" s="15"/>
      <c r="K271" s="15"/>
      <c r="L271" s="15"/>
      <c r="M271" s="16"/>
      <c r="N271" s="1"/>
      <c r="O271" s="1"/>
      <c r="P271" s="1"/>
    </row>
    <row r="272" spans="1:16" x14ac:dyDescent="0.25">
      <c r="A272" s="13" t="s">
        <v>1226</v>
      </c>
      <c r="B272" s="13" t="s">
        <v>1227</v>
      </c>
      <c r="C272" s="20" t="s">
        <v>1458</v>
      </c>
      <c r="D272" s="13" t="s">
        <v>249</v>
      </c>
      <c r="E272" s="13" t="s">
        <v>411</v>
      </c>
      <c r="F272" s="13" t="s">
        <v>157</v>
      </c>
      <c r="G272" s="21">
        <v>43383</v>
      </c>
      <c r="H272" s="13" t="s">
        <v>389</v>
      </c>
      <c r="I272" s="36"/>
      <c r="J272" s="15"/>
      <c r="K272" s="15"/>
      <c r="L272" s="15"/>
      <c r="M272" s="16"/>
      <c r="N272" s="1"/>
      <c r="O272" s="1"/>
      <c r="P272" s="1"/>
    </row>
    <row r="273" spans="1:16" x14ac:dyDescent="0.25">
      <c r="A273" s="13" t="s">
        <v>1228</v>
      </c>
      <c r="B273" s="13" t="s">
        <v>1229</v>
      </c>
      <c r="C273" s="20" t="s">
        <v>1458</v>
      </c>
      <c r="D273" s="13" t="s">
        <v>249</v>
      </c>
      <c r="E273" s="13" t="s">
        <v>411</v>
      </c>
      <c r="F273" s="13" t="s">
        <v>157</v>
      </c>
      <c r="G273" s="21">
        <v>43383</v>
      </c>
      <c r="H273" s="13" t="s">
        <v>389</v>
      </c>
      <c r="I273" s="36"/>
      <c r="J273" s="15"/>
      <c r="K273" s="15"/>
      <c r="L273" s="15"/>
      <c r="M273" s="16"/>
      <c r="N273" s="1"/>
      <c r="O273" s="1"/>
      <c r="P273" s="1"/>
    </row>
    <row r="274" spans="1:16" x14ac:dyDescent="0.25">
      <c r="A274" s="13" t="s">
        <v>1232</v>
      </c>
      <c r="B274" s="13" t="s">
        <v>1233</v>
      </c>
      <c r="C274" s="20" t="s">
        <v>1458</v>
      </c>
      <c r="D274" s="13" t="s">
        <v>249</v>
      </c>
      <c r="E274" s="13" t="s">
        <v>411</v>
      </c>
      <c r="F274" s="13" t="s">
        <v>157</v>
      </c>
      <c r="G274" s="21">
        <v>43383</v>
      </c>
      <c r="H274" s="13" t="s">
        <v>389</v>
      </c>
      <c r="I274" s="36"/>
      <c r="J274" s="15"/>
      <c r="K274" s="15"/>
      <c r="L274" s="15"/>
      <c r="M274" s="16"/>
      <c r="N274" s="1"/>
      <c r="O274" s="1"/>
      <c r="P274" s="1"/>
    </row>
    <row r="275" spans="1:16" x14ac:dyDescent="0.25">
      <c r="A275" s="13" t="s">
        <v>1236</v>
      </c>
      <c r="B275" s="13" t="s">
        <v>1237</v>
      </c>
      <c r="C275" s="20" t="s">
        <v>1458</v>
      </c>
      <c r="D275" s="13" t="s">
        <v>249</v>
      </c>
      <c r="E275" s="13" t="s">
        <v>411</v>
      </c>
      <c r="F275" s="13" t="s">
        <v>157</v>
      </c>
      <c r="G275" s="21">
        <v>43383</v>
      </c>
      <c r="H275" s="13" t="s">
        <v>389</v>
      </c>
      <c r="I275" s="36"/>
      <c r="J275" s="15"/>
      <c r="K275" s="15"/>
      <c r="L275" s="15"/>
      <c r="M275" s="16"/>
      <c r="N275" s="1"/>
      <c r="O275" s="1"/>
      <c r="P275" s="1"/>
    </row>
    <row r="276" spans="1:16" x14ac:dyDescent="0.25">
      <c r="A276" s="13" t="s">
        <v>1247</v>
      </c>
      <c r="B276" s="13" t="s">
        <v>1248</v>
      </c>
      <c r="C276" s="20" t="s">
        <v>1458</v>
      </c>
      <c r="D276" s="13" t="s">
        <v>249</v>
      </c>
      <c r="E276" s="13" t="s">
        <v>411</v>
      </c>
      <c r="F276" s="13" t="s">
        <v>157</v>
      </c>
      <c r="G276" s="21">
        <v>43388</v>
      </c>
      <c r="H276" s="13" t="s">
        <v>389</v>
      </c>
      <c r="I276" s="36"/>
      <c r="J276" s="15"/>
      <c r="K276" s="15"/>
      <c r="L276" s="15"/>
      <c r="M276" s="16"/>
      <c r="N276" s="1"/>
      <c r="O276" s="1"/>
      <c r="P276" s="1"/>
    </row>
    <row r="277" spans="1:16" x14ac:dyDescent="0.25">
      <c r="A277" s="13" t="s">
        <v>1266</v>
      </c>
      <c r="B277" s="13" t="s">
        <v>1267</v>
      </c>
      <c r="C277" s="20" t="s">
        <v>1458</v>
      </c>
      <c r="D277" s="13" t="s">
        <v>249</v>
      </c>
      <c r="E277" s="13" t="s">
        <v>411</v>
      </c>
      <c r="F277" s="13" t="s">
        <v>157</v>
      </c>
      <c r="G277" s="21">
        <v>43395</v>
      </c>
      <c r="H277" s="13" t="s">
        <v>389</v>
      </c>
      <c r="I277" s="36"/>
      <c r="J277" s="15"/>
      <c r="K277" s="15"/>
      <c r="L277" s="15"/>
      <c r="M277" s="16"/>
      <c r="N277" s="1"/>
      <c r="O277" s="1"/>
      <c r="P277" s="1"/>
    </row>
    <row r="278" spans="1:16" x14ac:dyDescent="0.25">
      <c r="A278" s="13" t="s">
        <v>1270</v>
      </c>
      <c r="B278" s="13" t="s">
        <v>1271</v>
      </c>
      <c r="C278" s="20" t="s">
        <v>1458</v>
      </c>
      <c r="D278" s="13" t="s">
        <v>249</v>
      </c>
      <c r="E278" s="13" t="s">
        <v>506</v>
      </c>
      <c r="F278" s="13" t="s">
        <v>157</v>
      </c>
      <c r="G278" s="21">
        <v>43395</v>
      </c>
      <c r="H278" s="13" t="s">
        <v>389</v>
      </c>
      <c r="I278" s="36"/>
      <c r="J278" s="15"/>
      <c r="K278" s="15"/>
      <c r="L278" s="15"/>
      <c r="M278" s="16"/>
      <c r="N278" s="1"/>
      <c r="O278" s="1"/>
      <c r="P278" s="1"/>
    </row>
    <row r="279" spans="1:16" x14ac:dyDescent="0.25">
      <c r="A279" s="13" t="s">
        <v>1311</v>
      </c>
      <c r="B279" s="13" t="s">
        <v>1312</v>
      </c>
      <c r="C279" s="20" t="s">
        <v>1458</v>
      </c>
      <c r="D279" s="13" t="s">
        <v>249</v>
      </c>
      <c r="E279" s="13" t="s">
        <v>411</v>
      </c>
      <c r="F279" s="13" t="s">
        <v>157</v>
      </c>
      <c r="G279" s="21">
        <v>43420</v>
      </c>
      <c r="H279" s="13" t="s">
        <v>389</v>
      </c>
      <c r="I279" s="36"/>
      <c r="J279" s="15"/>
      <c r="K279" s="15"/>
      <c r="L279" s="15"/>
      <c r="M279" s="16"/>
      <c r="N279" s="1"/>
      <c r="O279" s="1"/>
      <c r="P279" s="1"/>
    </row>
    <row r="280" spans="1:16" x14ac:dyDescent="0.25">
      <c r="A280" s="13" t="s">
        <v>1500</v>
      </c>
      <c r="B280" s="13" t="s">
        <v>1501</v>
      </c>
      <c r="C280" s="20" t="s">
        <v>1458</v>
      </c>
      <c r="D280" s="13" t="s">
        <v>1465</v>
      </c>
      <c r="E280" s="13" t="s">
        <v>1352</v>
      </c>
      <c r="F280" s="13" t="s">
        <v>157</v>
      </c>
      <c r="G280" s="21">
        <v>43480</v>
      </c>
      <c r="H280" s="13" t="s">
        <v>284</v>
      </c>
      <c r="I280" s="36"/>
      <c r="J280" s="15"/>
      <c r="K280" s="15"/>
      <c r="L280" s="15"/>
      <c r="M280" s="16"/>
      <c r="N280" s="1"/>
      <c r="O280" s="1"/>
      <c r="P280" s="1"/>
    </row>
    <row r="281" spans="1:16" x14ac:dyDescent="0.25">
      <c r="A281" s="13" t="s">
        <v>1502</v>
      </c>
      <c r="B281" s="13" t="s">
        <v>1503</v>
      </c>
      <c r="C281" s="20" t="s">
        <v>1458</v>
      </c>
      <c r="D281" s="13" t="s">
        <v>1504</v>
      </c>
      <c r="E281" s="13" t="s">
        <v>1505</v>
      </c>
      <c r="F281" s="13" t="s">
        <v>56</v>
      </c>
      <c r="G281" s="21">
        <v>43523</v>
      </c>
      <c r="H281" s="13" t="s">
        <v>62</v>
      </c>
      <c r="I281" s="36"/>
      <c r="J281" s="15"/>
      <c r="K281" s="15"/>
      <c r="L281" s="15"/>
      <c r="M281" s="16"/>
      <c r="N281" s="1"/>
      <c r="O281" s="1"/>
      <c r="P281" s="1"/>
    </row>
    <row r="282" spans="1:16" x14ac:dyDescent="0.25">
      <c r="A282" s="13" t="s">
        <v>1506</v>
      </c>
      <c r="B282" s="13" t="s">
        <v>1507</v>
      </c>
      <c r="C282" s="20" t="s">
        <v>1458</v>
      </c>
      <c r="D282" s="13" t="s">
        <v>249</v>
      </c>
      <c r="E282" s="13" t="s">
        <v>232</v>
      </c>
      <c r="F282" s="13" t="s">
        <v>157</v>
      </c>
      <c r="G282" s="21">
        <v>43524</v>
      </c>
      <c r="H282" s="13" t="s">
        <v>592</v>
      </c>
      <c r="I282" s="36"/>
      <c r="J282" s="15"/>
      <c r="K282" s="15"/>
      <c r="L282" s="15"/>
      <c r="M282" s="16"/>
      <c r="N282" s="1"/>
      <c r="O282" s="1"/>
      <c r="P282" s="1"/>
    </row>
    <row r="283" spans="1:16" x14ac:dyDescent="0.25">
      <c r="A283" s="13" t="s">
        <v>1508</v>
      </c>
      <c r="B283" s="13" t="s">
        <v>1509</v>
      </c>
      <c r="C283" s="20" t="s">
        <v>1458</v>
      </c>
      <c r="D283" s="13" t="s">
        <v>1465</v>
      </c>
      <c r="E283" s="13" t="s">
        <v>1380</v>
      </c>
      <c r="F283" s="13" t="s">
        <v>12</v>
      </c>
      <c r="G283" s="21">
        <v>43530</v>
      </c>
      <c r="H283" s="13" t="s">
        <v>1464</v>
      </c>
      <c r="I283" s="36"/>
      <c r="J283" s="15"/>
      <c r="K283" s="15"/>
      <c r="L283" s="15"/>
      <c r="M283" s="16"/>
      <c r="N283" s="1"/>
      <c r="O283" s="1"/>
      <c r="P283" s="1"/>
    </row>
    <row r="284" spans="1:16" x14ac:dyDescent="0.25">
      <c r="A284" s="13" t="s">
        <v>1510</v>
      </c>
      <c r="B284" s="13" t="s">
        <v>1511</v>
      </c>
      <c r="C284" s="20" t="s">
        <v>1458</v>
      </c>
      <c r="D284" s="13" t="s">
        <v>249</v>
      </c>
      <c r="E284" s="13" t="s">
        <v>232</v>
      </c>
      <c r="F284" s="13" t="s">
        <v>1512</v>
      </c>
      <c r="G284" s="21">
        <v>43532</v>
      </c>
      <c r="H284" s="13" t="s">
        <v>592</v>
      </c>
      <c r="I284" s="36"/>
      <c r="J284" s="15"/>
      <c r="K284" s="15"/>
      <c r="L284" s="15"/>
      <c r="M284" s="16"/>
      <c r="N284" s="1"/>
      <c r="O284" s="1"/>
      <c r="P284" s="1"/>
    </row>
    <row r="285" spans="1:16" x14ac:dyDescent="0.25">
      <c r="A285" s="13" t="s">
        <v>1513</v>
      </c>
      <c r="B285" s="13" t="s">
        <v>1514</v>
      </c>
      <c r="C285" s="20" t="s">
        <v>1458</v>
      </c>
      <c r="D285" s="13" t="s">
        <v>1504</v>
      </c>
      <c r="E285" s="13" t="s">
        <v>1515</v>
      </c>
      <c r="F285" s="13" t="s">
        <v>12</v>
      </c>
      <c r="G285" s="21">
        <v>43536</v>
      </c>
      <c r="H285" s="13" t="s">
        <v>1503</v>
      </c>
      <c r="I285" s="36"/>
      <c r="J285" s="15"/>
      <c r="K285" s="15"/>
      <c r="L285" s="15"/>
      <c r="M285" s="16"/>
      <c r="N285" s="1"/>
      <c r="O285" s="1"/>
      <c r="P285" s="1"/>
    </row>
    <row r="286" spans="1:16" x14ac:dyDescent="0.25">
      <c r="A286" s="13" t="s">
        <v>1516</v>
      </c>
      <c r="B286" s="13" t="s">
        <v>1517</v>
      </c>
      <c r="C286" s="20" t="s">
        <v>1458</v>
      </c>
      <c r="D286" s="13" t="s">
        <v>1465</v>
      </c>
      <c r="E286" s="13" t="s">
        <v>482</v>
      </c>
      <c r="F286" s="13" t="s">
        <v>1512</v>
      </c>
      <c r="G286" s="21">
        <v>43538</v>
      </c>
      <c r="H286" s="13" t="s">
        <v>1509</v>
      </c>
      <c r="I286" s="36"/>
      <c r="J286" s="15"/>
      <c r="K286" s="15"/>
      <c r="L286" s="15"/>
      <c r="M286" s="16"/>
      <c r="N286" s="1"/>
      <c r="O286" s="1"/>
      <c r="P286" s="1"/>
    </row>
    <row r="287" spans="1:16" x14ac:dyDescent="0.25">
      <c r="A287" s="13" t="s">
        <v>1518</v>
      </c>
      <c r="B287" s="13" t="s">
        <v>1519</v>
      </c>
      <c r="C287" s="20" t="s">
        <v>1458</v>
      </c>
      <c r="D287" s="13" t="s">
        <v>249</v>
      </c>
      <c r="E287" s="13" t="s">
        <v>232</v>
      </c>
      <c r="F287" s="13" t="s">
        <v>157</v>
      </c>
      <c r="G287" s="21">
        <v>43544</v>
      </c>
      <c r="H287" s="13" t="s">
        <v>358</v>
      </c>
      <c r="I287" s="36"/>
      <c r="J287" s="15"/>
      <c r="K287" s="15"/>
      <c r="L287" s="15"/>
      <c r="M287" s="16"/>
      <c r="N287" s="1"/>
      <c r="O287" s="1"/>
      <c r="P287" s="1"/>
    </row>
    <row r="288" spans="1:16" x14ac:dyDescent="0.25">
      <c r="A288" s="13" t="s">
        <v>1520</v>
      </c>
      <c r="B288" s="13" t="s">
        <v>1521</v>
      </c>
      <c r="C288" s="20" t="s">
        <v>1458</v>
      </c>
      <c r="D288" s="13" t="s">
        <v>249</v>
      </c>
      <c r="E288" s="13" t="s">
        <v>506</v>
      </c>
      <c r="F288" s="13" t="s">
        <v>157</v>
      </c>
      <c r="G288" s="21">
        <v>43545</v>
      </c>
      <c r="H288" s="13" t="s">
        <v>358</v>
      </c>
      <c r="I288" s="36"/>
      <c r="J288" s="15"/>
      <c r="K288" s="15"/>
      <c r="L288" s="15"/>
      <c r="M288" s="16"/>
      <c r="N288" s="1"/>
      <c r="O288" s="1"/>
      <c r="P288" s="1"/>
    </row>
  </sheetData>
  <autoFilter ref="A9:W288"/>
  <mergeCells count="1">
    <mergeCell ref="A1:P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0"/>
  <sheetViews>
    <sheetView zoomScale="60" zoomScaleNormal="60" workbookViewId="0">
      <pane xSplit="2" ySplit="9" topLeftCell="C93" activePane="bottomRight" state="frozen"/>
      <selection pane="topRight" activeCell="C1" sqref="C1"/>
      <selection pane="bottomLeft" activeCell="A9" sqref="A9"/>
      <selection pane="bottomRight" activeCell="A101" sqref="A101:XFD101"/>
    </sheetView>
  </sheetViews>
  <sheetFormatPr defaultColWidth="11" defaultRowHeight="15.75" x14ac:dyDescent="0.25"/>
  <cols>
    <col min="1" max="6" width="19.5" style="1" customWidth="1"/>
    <col min="7" max="7" width="13.375" style="1" customWidth="1"/>
    <col min="8" max="8" width="14.125" style="32" customWidth="1"/>
    <col min="9" max="9" width="15.125" style="1" customWidth="1"/>
    <col min="10" max="11" width="17.125" style="1" customWidth="1"/>
    <col min="12" max="12" width="18.875" style="40" customWidth="1"/>
    <col min="13" max="13" width="23.375" style="9" customWidth="1"/>
    <col min="14" max="14" width="33.125" style="9" customWidth="1"/>
    <col min="15" max="15" width="22.375" style="9" customWidth="1"/>
    <col min="16" max="16" width="38.5" style="9" customWidth="1"/>
    <col min="17" max="18" width="11" style="1" customWidth="1"/>
    <col min="19" max="16384" width="11" style="1"/>
  </cols>
  <sheetData>
    <row r="1" spans="1:23" ht="54.75" customHeight="1" x14ac:dyDescent="0.4">
      <c r="A1" s="42" t="s">
        <v>1448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23" ht="27.75" hidden="1" x14ac:dyDescent="0.4">
      <c r="A2" s="4" t="s">
        <v>1395</v>
      </c>
      <c r="B2" s="33" t="s">
        <v>1434</v>
      </c>
      <c r="C2" s="2"/>
      <c r="D2" s="2"/>
      <c r="E2" s="2"/>
      <c r="F2" s="2"/>
      <c r="G2" s="2"/>
      <c r="H2" s="31"/>
      <c r="I2" s="2"/>
      <c r="J2" s="2"/>
      <c r="K2" s="30"/>
      <c r="L2" s="39"/>
      <c r="M2" s="3"/>
      <c r="N2" s="3"/>
      <c r="O2" s="3"/>
      <c r="P2" s="3"/>
    </row>
    <row r="3" spans="1:23" ht="27.75" x14ac:dyDescent="0.4">
      <c r="A3" s="4" t="s">
        <v>1381</v>
      </c>
      <c r="B3" s="5"/>
      <c r="C3" s="5"/>
      <c r="D3" s="5"/>
      <c r="E3" s="5"/>
      <c r="F3" s="5"/>
      <c r="G3" s="2"/>
      <c r="H3" s="31"/>
      <c r="I3" s="2"/>
      <c r="J3" s="2"/>
      <c r="K3" s="30"/>
      <c r="L3" s="39"/>
      <c r="M3" s="3"/>
      <c r="N3" s="3"/>
      <c r="O3" s="3"/>
      <c r="P3" s="3"/>
    </row>
    <row r="4" spans="1:23" ht="27.75" x14ac:dyDescent="0.4">
      <c r="A4" s="6" t="s">
        <v>1406</v>
      </c>
      <c r="B4" s="6" t="s">
        <v>1400</v>
      </c>
      <c r="C4" s="6" t="s">
        <v>1396</v>
      </c>
      <c r="D4" s="6" t="s">
        <v>1397</v>
      </c>
      <c r="E4" s="6" t="s">
        <v>1402</v>
      </c>
      <c r="F4" s="6" t="s">
        <v>1403</v>
      </c>
      <c r="G4" s="2"/>
      <c r="H4" s="31"/>
      <c r="I4" s="2"/>
      <c r="J4" s="2"/>
      <c r="K4" s="30"/>
      <c r="L4" s="39"/>
      <c r="M4" s="3"/>
      <c r="N4" s="3"/>
      <c r="O4" s="3"/>
      <c r="P4" s="3"/>
      <c r="S4" s="26"/>
      <c r="T4" s="26"/>
      <c r="U4" s="26"/>
      <c r="V4" s="26"/>
      <c r="W4" s="26"/>
    </row>
    <row r="5" spans="1:23" ht="27.75" x14ac:dyDescent="0.4">
      <c r="A5" s="6" t="s">
        <v>1407</v>
      </c>
      <c r="B5" s="27">
        <f>VLOOKUP(B2,等级分布!A:F,2,0)</f>
        <v>0.1</v>
      </c>
      <c r="C5" s="27">
        <f>VLOOKUP(B2,等级分布!A:F,3,0)</f>
        <v>0.2</v>
      </c>
      <c r="D5" s="27">
        <f>VLOOKUP(B2,等级分布!A:F,4,0)</f>
        <v>0.3</v>
      </c>
      <c r="E5" s="27">
        <f>VLOOKUP(B2,等级分布!A:F,5,0)</f>
        <v>0.2</v>
      </c>
      <c r="F5" s="27">
        <f>VLOOKUP(B2,等级分布!A:F,6,0)</f>
        <v>0.2</v>
      </c>
      <c r="G5" s="2"/>
      <c r="H5" s="31"/>
      <c r="I5" s="2"/>
      <c r="J5" s="2"/>
      <c r="K5" s="30"/>
      <c r="L5" s="39"/>
      <c r="M5" s="3"/>
      <c r="N5" s="3"/>
      <c r="O5" s="3"/>
      <c r="P5" s="3"/>
      <c r="S5" s="26"/>
      <c r="T5" s="26"/>
      <c r="U5" s="26"/>
      <c r="V5" s="26"/>
      <c r="W5" s="26"/>
    </row>
    <row r="6" spans="1:23" ht="27.75" x14ac:dyDescent="0.4">
      <c r="A6" s="6" t="s">
        <v>1382</v>
      </c>
      <c r="B6" s="7"/>
      <c r="C6" s="7"/>
      <c r="D6" s="7"/>
      <c r="E6" s="7"/>
      <c r="F6" s="7"/>
      <c r="G6" s="2"/>
      <c r="H6" s="31"/>
      <c r="I6" s="2"/>
      <c r="J6" s="2"/>
      <c r="K6" s="30"/>
      <c r="L6" s="39"/>
      <c r="M6" s="3"/>
      <c r="N6" s="3"/>
      <c r="O6" s="3"/>
      <c r="P6" s="3"/>
    </row>
    <row r="7" spans="1:23" ht="18" hidden="1" x14ac:dyDescent="0.25">
      <c r="A7" s="6" t="s">
        <v>1383</v>
      </c>
      <c r="B7" s="8" t="str">
        <f>IF(B6&lt;=B5,"是","否")</f>
        <v>是</v>
      </c>
      <c r="C7" s="8" t="str">
        <f>IF(C6&lt;=C5,"是","否")</f>
        <v>是</v>
      </c>
      <c r="D7" s="8" t="str">
        <f>IF(D6&lt;=D5,"是","否")</f>
        <v>是</v>
      </c>
      <c r="E7" s="8" t="str">
        <f>IF(E6&lt;=E5,"是","否")</f>
        <v>是</v>
      </c>
      <c r="F7" s="8" t="str">
        <f>IF(F6&lt;=F5,"是","否")</f>
        <v>是</v>
      </c>
    </row>
    <row r="8" spans="1:23" ht="18" x14ac:dyDescent="0.25">
      <c r="A8" s="10" t="s">
        <v>1442</v>
      </c>
    </row>
    <row r="9" spans="1:23" ht="75" x14ac:dyDescent="0.25">
      <c r="A9" s="11" t="s">
        <v>0</v>
      </c>
      <c r="B9" s="11" t="s">
        <v>1</v>
      </c>
      <c r="C9" s="11" t="s">
        <v>1384</v>
      </c>
      <c r="D9" s="11" t="s">
        <v>1385</v>
      </c>
      <c r="E9" s="11" t="s">
        <v>1386</v>
      </c>
      <c r="F9" s="11" t="s">
        <v>1387</v>
      </c>
      <c r="G9" s="28" t="s">
        <v>1388</v>
      </c>
      <c r="H9" s="11" t="s">
        <v>1389</v>
      </c>
      <c r="I9" s="35" t="s">
        <v>1390</v>
      </c>
      <c r="J9" s="12" t="s">
        <v>1391</v>
      </c>
      <c r="K9" s="12" t="s">
        <v>1392</v>
      </c>
      <c r="L9" s="12" t="s">
        <v>1393</v>
      </c>
      <c r="M9" s="11" t="s">
        <v>1394</v>
      </c>
      <c r="N9" s="1" t="s">
        <v>1439</v>
      </c>
      <c r="O9" s="1"/>
      <c r="P9" s="1"/>
    </row>
    <row r="10" spans="1:23" x14ac:dyDescent="0.25">
      <c r="A10" s="13" t="s">
        <v>70</v>
      </c>
      <c r="B10" s="13" t="s">
        <v>71</v>
      </c>
      <c r="C10" s="14" t="s">
        <v>1522</v>
      </c>
      <c r="D10" s="14"/>
      <c r="E10" s="13" t="s">
        <v>73</v>
      </c>
      <c r="F10" s="13" t="s">
        <v>24</v>
      </c>
      <c r="G10" s="21">
        <v>41730</v>
      </c>
      <c r="H10" s="14" t="s">
        <v>179</v>
      </c>
      <c r="I10" s="36"/>
      <c r="J10" s="15"/>
      <c r="K10" s="15"/>
      <c r="L10" s="15"/>
      <c r="M10" s="16"/>
      <c r="N10" s="1"/>
      <c r="O10" s="1"/>
      <c r="P10" s="1"/>
    </row>
    <row r="11" spans="1:23" x14ac:dyDescent="0.25">
      <c r="A11" s="13" t="s">
        <v>1092</v>
      </c>
      <c r="B11" s="13" t="s">
        <v>1093</v>
      </c>
      <c r="C11" s="14" t="s">
        <v>1522</v>
      </c>
      <c r="D11" s="14"/>
      <c r="E11" s="13" t="s">
        <v>1094</v>
      </c>
      <c r="F11" s="13" t="s">
        <v>55</v>
      </c>
      <c r="G11" s="21">
        <v>43283</v>
      </c>
      <c r="H11" s="14" t="s">
        <v>71</v>
      </c>
      <c r="I11" s="36"/>
      <c r="J11" s="15"/>
      <c r="K11" s="15"/>
      <c r="L11" s="15"/>
      <c r="M11" s="16"/>
      <c r="N11" s="1"/>
      <c r="O11" s="1"/>
      <c r="P11" s="1"/>
    </row>
    <row r="12" spans="1:23" x14ac:dyDescent="0.25">
      <c r="A12" s="13" t="s">
        <v>431</v>
      </c>
      <c r="B12" s="13" t="s">
        <v>432</v>
      </c>
      <c r="C12" s="14" t="s">
        <v>1522</v>
      </c>
      <c r="D12" s="14"/>
      <c r="E12" s="13" t="s">
        <v>341</v>
      </c>
      <c r="F12" s="13" t="s">
        <v>56</v>
      </c>
      <c r="G12" s="21">
        <v>42541</v>
      </c>
      <c r="H12" s="14" t="s">
        <v>179</v>
      </c>
      <c r="I12" s="36"/>
      <c r="J12" s="15"/>
      <c r="K12" s="15"/>
      <c r="L12" s="15"/>
      <c r="M12" s="16"/>
      <c r="N12" s="1"/>
      <c r="O12" s="1"/>
      <c r="P12" s="1"/>
    </row>
    <row r="13" spans="1:23" x14ac:dyDescent="0.25">
      <c r="A13" s="13" t="s">
        <v>908</v>
      </c>
      <c r="B13" s="13" t="s">
        <v>572</v>
      </c>
      <c r="C13" s="14" t="s">
        <v>1522</v>
      </c>
      <c r="D13" s="14" t="s">
        <v>570</v>
      </c>
      <c r="E13" s="13" t="s">
        <v>909</v>
      </c>
      <c r="F13" s="13" t="s">
        <v>60</v>
      </c>
      <c r="G13" s="21">
        <v>43192</v>
      </c>
      <c r="H13" s="14" t="s">
        <v>179</v>
      </c>
      <c r="I13" s="36"/>
      <c r="J13" s="15"/>
      <c r="K13" s="15"/>
      <c r="L13" s="15"/>
      <c r="M13" s="16"/>
      <c r="N13" s="1"/>
      <c r="O13" s="1"/>
      <c r="P13" s="1"/>
    </row>
    <row r="14" spans="1:23" x14ac:dyDescent="0.25">
      <c r="A14" s="13" t="s">
        <v>948</v>
      </c>
      <c r="B14" s="13" t="s">
        <v>949</v>
      </c>
      <c r="C14" s="14" t="s">
        <v>1522</v>
      </c>
      <c r="D14" s="14" t="s">
        <v>570</v>
      </c>
      <c r="E14" s="13" t="s">
        <v>950</v>
      </c>
      <c r="F14" s="13" t="s">
        <v>153</v>
      </c>
      <c r="G14" s="21">
        <v>43213</v>
      </c>
      <c r="H14" s="14" t="s">
        <v>572</v>
      </c>
      <c r="I14" s="36"/>
      <c r="J14" s="15"/>
      <c r="K14" s="15"/>
      <c r="L14" s="15"/>
      <c r="M14" s="16"/>
      <c r="N14" s="1"/>
      <c r="O14" s="1"/>
      <c r="P14" s="1"/>
    </row>
    <row r="15" spans="1:23" x14ac:dyDescent="0.25">
      <c r="A15" s="13" t="s">
        <v>971</v>
      </c>
      <c r="B15" s="13" t="s">
        <v>972</v>
      </c>
      <c r="C15" s="14" t="s">
        <v>1522</v>
      </c>
      <c r="D15" s="14" t="s">
        <v>570</v>
      </c>
      <c r="E15" s="13" t="s">
        <v>616</v>
      </c>
      <c r="F15" s="13" t="s">
        <v>157</v>
      </c>
      <c r="G15" s="21">
        <v>43227</v>
      </c>
      <c r="H15" s="14" t="s">
        <v>949</v>
      </c>
      <c r="I15" s="36"/>
      <c r="J15" s="15"/>
      <c r="K15" s="15"/>
      <c r="L15" s="15"/>
      <c r="M15" s="16"/>
      <c r="N15" s="1"/>
      <c r="O15" s="1"/>
      <c r="P15" s="1"/>
    </row>
    <row r="16" spans="1:23" x14ac:dyDescent="0.25">
      <c r="A16" s="13" t="s">
        <v>1013</v>
      </c>
      <c r="B16" s="13" t="s">
        <v>1014</v>
      </c>
      <c r="C16" s="14" t="s">
        <v>1522</v>
      </c>
      <c r="D16" s="14" t="s">
        <v>570</v>
      </c>
      <c r="E16" s="13" t="s">
        <v>616</v>
      </c>
      <c r="F16" s="13" t="s">
        <v>157</v>
      </c>
      <c r="G16" s="21">
        <v>43248</v>
      </c>
      <c r="H16" s="14" t="s">
        <v>949</v>
      </c>
      <c r="I16" s="36"/>
      <c r="J16" s="15"/>
      <c r="K16" s="15"/>
      <c r="L16" s="15"/>
      <c r="M16" s="16"/>
      <c r="N16" s="1"/>
      <c r="O16" s="1"/>
      <c r="P16" s="1"/>
    </row>
    <row r="17" spans="1:16" x14ac:dyDescent="0.25">
      <c r="A17" s="13" t="s">
        <v>1015</v>
      </c>
      <c r="B17" s="13" t="s">
        <v>1016</v>
      </c>
      <c r="C17" s="14" t="s">
        <v>1522</v>
      </c>
      <c r="D17" s="14" t="s">
        <v>570</v>
      </c>
      <c r="E17" s="13" t="s">
        <v>616</v>
      </c>
      <c r="F17" s="13" t="s">
        <v>157</v>
      </c>
      <c r="G17" s="21">
        <v>43248</v>
      </c>
      <c r="H17" s="14" t="s">
        <v>949</v>
      </c>
      <c r="I17" s="36"/>
      <c r="J17" s="15"/>
      <c r="K17" s="15"/>
      <c r="L17" s="15"/>
      <c r="M17" s="16"/>
      <c r="N17" s="1"/>
      <c r="O17" s="1"/>
      <c r="P17" s="1"/>
    </row>
    <row r="18" spans="1:16" x14ac:dyDescent="0.25">
      <c r="A18" s="13" t="s">
        <v>1083</v>
      </c>
      <c r="B18" s="13" t="s">
        <v>1084</v>
      </c>
      <c r="C18" s="14" t="s">
        <v>1522</v>
      </c>
      <c r="D18" s="14" t="s">
        <v>570</v>
      </c>
      <c r="E18" s="13" t="s">
        <v>616</v>
      </c>
      <c r="F18" s="13" t="s">
        <v>157</v>
      </c>
      <c r="G18" s="21">
        <v>43276</v>
      </c>
      <c r="H18" s="14" t="s">
        <v>949</v>
      </c>
      <c r="I18" s="36"/>
      <c r="J18" s="15"/>
      <c r="K18" s="15"/>
      <c r="L18" s="15"/>
      <c r="M18" s="16"/>
      <c r="N18" s="1"/>
      <c r="O18" s="1"/>
      <c r="P18" s="1"/>
    </row>
    <row r="19" spans="1:16" x14ac:dyDescent="0.25">
      <c r="A19" s="13" t="s">
        <v>1110</v>
      </c>
      <c r="B19" s="13" t="s">
        <v>1111</v>
      </c>
      <c r="C19" s="14" t="s">
        <v>1522</v>
      </c>
      <c r="D19" s="14" t="s">
        <v>570</v>
      </c>
      <c r="E19" s="13" t="s">
        <v>616</v>
      </c>
      <c r="F19" s="13" t="s">
        <v>157</v>
      </c>
      <c r="G19" s="21">
        <v>43290</v>
      </c>
      <c r="H19" s="14" t="s">
        <v>949</v>
      </c>
      <c r="I19" s="36"/>
      <c r="J19" s="15"/>
      <c r="K19" s="15"/>
      <c r="L19" s="15"/>
      <c r="M19" s="16"/>
      <c r="N19" s="1"/>
      <c r="O19" s="1"/>
      <c r="P19" s="1"/>
    </row>
    <row r="20" spans="1:16" x14ac:dyDescent="0.25">
      <c r="A20" s="13" t="s">
        <v>1198</v>
      </c>
      <c r="B20" s="13" t="s">
        <v>1199</v>
      </c>
      <c r="C20" s="14" t="s">
        <v>1522</v>
      </c>
      <c r="D20" s="14" t="s">
        <v>570</v>
      </c>
      <c r="E20" s="13" t="s">
        <v>616</v>
      </c>
      <c r="F20" s="13" t="s">
        <v>157</v>
      </c>
      <c r="G20" s="21">
        <v>43334</v>
      </c>
      <c r="H20" s="14" t="s">
        <v>949</v>
      </c>
      <c r="I20" s="36"/>
      <c r="J20" s="15"/>
      <c r="K20" s="15"/>
      <c r="L20" s="15"/>
      <c r="M20" s="16"/>
      <c r="N20" s="1"/>
      <c r="O20" s="1"/>
      <c r="P20" s="1"/>
    </row>
    <row r="21" spans="1:16" x14ac:dyDescent="0.25">
      <c r="A21" s="13" t="s">
        <v>568</v>
      </c>
      <c r="B21" s="13" t="s">
        <v>569</v>
      </c>
      <c r="C21" s="14" t="s">
        <v>1522</v>
      </c>
      <c r="D21" s="14" t="s">
        <v>570</v>
      </c>
      <c r="E21" s="13" t="s">
        <v>571</v>
      </c>
      <c r="F21" s="13" t="s">
        <v>157</v>
      </c>
      <c r="G21" s="21">
        <v>42667</v>
      </c>
      <c r="H21" s="14" t="s">
        <v>572</v>
      </c>
      <c r="I21" s="36"/>
      <c r="J21" s="15"/>
      <c r="K21" s="15"/>
      <c r="L21" s="15"/>
      <c r="M21" s="16"/>
      <c r="N21" s="1"/>
      <c r="O21" s="1"/>
      <c r="P21" s="1"/>
    </row>
    <row r="22" spans="1:16" x14ac:dyDescent="0.25">
      <c r="A22" s="13" t="s">
        <v>669</v>
      </c>
      <c r="B22" s="13" t="s">
        <v>670</v>
      </c>
      <c r="C22" s="14" t="s">
        <v>1522</v>
      </c>
      <c r="D22" s="14" t="s">
        <v>570</v>
      </c>
      <c r="E22" s="13" t="s">
        <v>671</v>
      </c>
      <c r="F22" s="13" t="s">
        <v>157</v>
      </c>
      <c r="G22" s="21">
        <v>42788</v>
      </c>
      <c r="H22" s="14" t="s">
        <v>569</v>
      </c>
      <c r="I22" s="36"/>
      <c r="J22" s="15"/>
      <c r="K22" s="15"/>
      <c r="L22" s="15"/>
      <c r="M22" s="16"/>
      <c r="N22" s="1"/>
      <c r="O22" s="1"/>
      <c r="P22" s="1"/>
    </row>
    <row r="23" spans="1:16" x14ac:dyDescent="0.25">
      <c r="A23" s="13" t="s">
        <v>730</v>
      </c>
      <c r="B23" s="13" t="s">
        <v>731</v>
      </c>
      <c r="C23" s="14" t="s">
        <v>1522</v>
      </c>
      <c r="D23" s="14" t="s">
        <v>570</v>
      </c>
      <c r="E23" s="13" t="s">
        <v>671</v>
      </c>
      <c r="F23" s="13" t="s">
        <v>157</v>
      </c>
      <c r="G23" s="21">
        <v>42863</v>
      </c>
      <c r="H23" s="14" t="s">
        <v>569</v>
      </c>
      <c r="I23" s="36"/>
      <c r="J23" s="15"/>
      <c r="K23" s="15"/>
      <c r="L23" s="15"/>
      <c r="M23" s="16"/>
      <c r="N23" s="1"/>
      <c r="O23" s="1"/>
      <c r="P23" s="1"/>
    </row>
    <row r="24" spans="1:16" x14ac:dyDescent="0.25">
      <c r="A24" s="13" t="s">
        <v>759</v>
      </c>
      <c r="B24" s="13" t="s">
        <v>760</v>
      </c>
      <c r="C24" s="14" t="s">
        <v>1522</v>
      </c>
      <c r="D24" s="14" t="s">
        <v>570</v>
      </c>
      <c r="E24" s="13" t="s">
        <v>671</v>
      </c>
      <c r="F24" s="13" t="s">
        <v>157</v>
      </c>
      <c r="G24" s="21">
        <v>42919</v>
      </c>
      <c r="H24" s="14" t="s">
        <v>569</v>
      </c>
      <c r="I24" s="36"/>
      <c r="J24" s="15"/>
      <c r="K24" s="15"/>
      <c r="L24" s="15"/>
      <c r="M24" s="16"/>
      <c r="N24" s="1"/>
      <c r="O24" s="1"/>
      <c r="P24" s="1"/>
    </row>
    <row r="25" spans="1:16" x14ac:dyDescent="0.25">
      <c r="A25" s="13" t="s">
        <v>951</v>
      </c>
      <c r="B25" s="13" t="s">
        <v>952</v>
      </c>
      <c r="C25" s="14" t="s">
        <v>1522</v>
      </c>
      <c r="D25" s="14" t="s">
        <v>570</v>
      </c>
      <c r="E25" s="13" t="s">
        <v>671</v>
      </c>
      <c r="F25" s="13" t="s">
        <v>157</v>
      </c>
      <c r="G25" s="21">
        <v>43215</v>
      </c>
      <c r="H25" s="14" t="s">
        <v>953</v>
      </c>
      <c r="I25" s="36"/>
      <c r="J25" s="15"/>
      <c r="K25" s="15"/>
      <c r="L25" s="15"/>
      <c r="M25" s="16"/>
      <c r="N25" s="1"/>
      <c r="O25" s="1"/>
      <c r="P25" s="1"/>
    </row>
    <row r="26" spans="1:16" x14ac:dyDescent="0.25">
      <c r="A26" s="13" t="s">
        <v>963</v>
      </c>
      <c r="B26" s="13" t="s">
        <v>964</v>
      </c>
      <c r="C26" s="14" t="s">
        <v>1522</v>
      </c>
      <c r="D26" s="14" t="s">
        <v>570</v>
      </c>
      <c r="E26" s="13" t="s">
        <v>671</v>
      </c>
      <c r="F26" s="13" t="s">
        <v>157</v>
      </c>
      <c r="G26" s="21">
        <v>43222</v>
      </c>
      <c r="H26" s="14" t="s">
        <v>953</v>
      </c>
      <c r="I26" s="36"/>
      <c r="J26" s="15"/>
      <c r="K26" s="15"/>
      <c r="L26" s="15"/>
      <c r="M26" s="16"/>
      <c r="N26" s="1"/>
      <c r="O26" s="1"/>
      <c r="P26" s="1"/>
    </row>
    <row r="27" spans="1:16" x14ac:dyDescent="0.25">
      <c r="A27" s="13" t="s">
        <v>1017</v>
      </c>
      <c r="B27" s="13" t="s">
        <v>1018</v>
      </c>
      <c r="C27" s="14" t="s">
        <v>1522</v>
      </c>
      <c r="D27" s="14" t="s">
        <v>570</v>
      </c>
      <c r="E27" s="13" t="s">
        <v>671</v>
      </c>
      <c r="F27" s="13" t="s">
        <v>157</v>
      </c>
      <c r="G27" s="21">
        <v>43248</v>
      </c>
      <c r="H27" s="14" t="s">
        <v>569</v>
      </c>
      <c r="I27" s="36"/>
      <c r="J27" s="15"/>
      <c r="K27" s="15"/>
      <c r="L27" s="15"/>
      <c r="M27" s="16"/>
      <c r="N27" s="1"/>
      <c r="O27" s="1"/>
      <c r="P27" s="1"/>
    </row>
    <row r="28" spans="1:16" x14ac:dyDescent="0.25">
      <c r="A28" s="13" t="s">
        <v>1023</v>
      </c>
      <c r="B28" s="13" t="s">
        <v>1024</v>
      </c>
      <c r="C28" s="14" t="s">
        <v>1522</v>
      </c>
      <c r="D28" s="14" t="s">
        <v>570</v>
      </c>
      <c r="E28" s="13" t="s">
        <v>671</v>
      </c>
      <c r="F28" s="13" t="s">
        <v>157</v>
      </c>
      <c r="G28" s="21">
        <v>43250</v>
      </c>
      <c r="H28" s="14" t="s">
        <v>953</v>
      </c>
      <c r="I28" s="36"/>
      <c r="J28" s="15"/>
      <c r="K28" s="15"/>
      <c r="L28" s="15"/>
      <c r="M28" s="16"/>
      <c r="N28" s="1"/>
      <c r="O28" s="1"/>
      <c r="P28" s="1"/>
    </row>
    <row r="29" spans="1:16" x14ac:dyDescent="0.25">
      <c r="A29" s="13" t="s">
        <v>1034</v>
      </c>
      <c r="B29" s="13" t="s">
        <v>1035</v>
      </c>
      <c r="C29" s="14" t="s">
        <v>1522</v>
      </c>
      <c r="D29" s="14" t="s">
        <v>570</v>
      </c>
      <c r="E29" s="13" t="s">
        <v>671</v>
      </c>
      <c r="F29" s="13" t="s">
        <v>157</v>
      </c>
      <c r="G29" s="21">
        <v>43255</v>
      </c>
      <c r="H29" s="14" t="s">
        <v>953</v>
      </c>
      <c r="I29" s="36"/>
      <c r="J29" s="15"/>
      <c r="K29" s="15"/>
      <c r="L29" s="15"/>
      <c r="M29" s="16"/>
      <c r="N29" s="1"/>
      <c r="O29" s="1"/>
      <c r="P29" s="1"/>
    </row>
    <row r="30" spans="1:16" x14ac:dyDescent="0.25">
      <c r="A30" s="13" t="s">
        <v>1036</v>
      </c>
      <c r="B30" s="13" t="s">
        <v>1037</v>
      </c>
      <c r="C30" s="14" t="s">
        <v>1522</v>
      </c>
      <c r="D30" s="14" t="s">
        <v>570</v>
      </c>
      <c r="E30" s="13" t="s">
        <v>300</v>
      </c>
      <c r="F30" s="13" t="s">
        <v>157</v>
      </c>
      <c r="G30" s="21">
        <v>43255</v>
      </c>
      <c r="H30" s="14" t="s">
        <v>572</v>
      </c>
      <c r="I30" s="36"/>
      <c r="J30" s="15"/>
      <c r="K30" s="15"/>
      <c r="L30" s="15"/>
      <c r="M30" s="16"/>
      <c r="N30" s="1"/>
      <c r="O30" s="1"/>
      <c r="P30" s="1"/>
    </row>
    <row r="31" spans="1:16" x14ac:dyDescent="0.25">
      <c r="A31" s="13" t="s">
        <v>1056</v>
      </c>
      <c r="B31" s="13" t="s">
        <v>1057</v>
      </c>
      <c r="C31" s="14" t="s">
        <v>1522</v>
      </c>
      <c r="D31" s="14" t="s">
        <v>570</v>
      </c>
      <c r="E31" s="13" t="s">
        <v>671</v>
      </c>
      <c r="F31" s="13" t="s">
        <v>157</v>
      </c>
      <c r="G31" s="21">
        <v>43264</v>
      </c>
      <c r="H31" s="14" t="s">
        <v>953</v>
      </c>
      <c r="I31" s="36"/>
      <c r="J31" s="15"/>
      <c r="K31" s="15"/>
      <c r="L31" s="15"/>
      <c r="M31" s="16"/>
      <c r="N31" s="1"/>
      <c r="O31" s="1"/>
      <c r="P31" s="1"/>
    </row>
    <row r="32" spans="1:16" x14ac:dyDescent="0.25">
      <c r="A32" s="13" t="s">
        <v>1161</v>
      </c>
      <c r="B32" s="13" t="s">
        <v>953</v>
      </c>
      <c r="C32" s="14" t="s">
        <v>1522</v>
      </c>
      <c r="D32" s="14" t="s">
        <v>570</v>
      </c>
      <c r="E32" s="13" t="s">
        <v>571</v>
      </c>
      <c r="F32" s="13" t="s">
        <v>38</v>
      </c>
      <c r="G32" s="21">
        <v>43304</v>
      </c>
      <c r="H32" s="14" t="s">
        <v>572</v>
      </c>
      <c r="I32" s="36"/>
      <c r="J32" s="15"/>
      <c r="K32" s="15"/>
      <c r="L32" s="15"/>
      <c r="M32" s="16"/>
      <c r="N32" s="1"/>
      <c r="O32" s="1"/>
      <c r="P32" s="1"/>
    </row>
    <row r="33" spans="1:16" x14ac:dyDescent="0.25">
      <c r="A33" s="13" t="s">
        <v>1188</v>
      </c>
      <c r="B33" s="13" t="s">
        <v>1189</v>
      </c>
      <c r="C33" s="14" t="s">
        <v>1522</v>
      </c>
      <c r="D33" s="14" t="s">
        <v>570</v>
      </c>
      <c r="E33" s="13" t="s">
        <v>671</v>
      </c>
      <c r="F33" s="13" t="s">
        <v>157</v>
      </c>
      <c r="G33" s="21">
        <v>43325</v>
      </c>
      <c r="H33" s="14" t="s">
        <v>953</v>
      </c>
      <c r="I33" s="36"/>
      <c r="J33" s="15"/>
      <c r="K33" s="15"/>
      <c r="L33" s="15"/>
      <c r="M33" s="16"/>
      <c r="N33" s="1"/>
      <c r="O33" s="1"/>
      <c r="P33" s="1"/>
    </row>
    <row r="34" spans="1:16" x14ac:dyDescent="0.25">
      <c r="A34" s="13" t="s">
        <v>1190</v>
      </c>
      <c r="B34" s="13" t="s">
        <v>1191</v>
      </c>
      <c r="C34" s="14" t="s">
        <v>1522</v>
      </c>
      <c r="D34" s="14" t="s">
        <v>570</v>
      </c>
      <c r="E34" s="13" t="s">
        <v>671</v>
      </c>
      <c r="F34" s="13" t="s">
        <v>157</v>
      </c>
      <c r="G34" s="21">
        <v>43332</v>
      </c>
      <c r="H34" s="14" t="s">
        <v>953</v>
      </c>
      <c r="I34" s="36"/>
      <c r="J34" s="15"/>
      <c r="K34" s="15"/>
      <c r="L34" s="15"/>
      <c r="M34" s="16"/>
      <c r="N34" s="1"/>
      <c r="O34" s="1"/>
      <c r="P34" s="1"/>
    </row>
    <row r="35" spans="1:16" x14ac:dyDescent="0.25">
      <c r="A35" s="13" t="s">
        <v>1192</v>
      </c>
      <c r="B35" s="13" t="s">
        <v>1193</v>
      </c>
      <c r="C35" s="14" t="s">
        <v>1522</v>
      </c>
      <c r="D35" s="14" t="s">
        <v>570</v>
      </c>
      <c r="E35" s="13" t="s">
        <v>300</v>
      </c>
      <c r="F35" s="13" t="s">
        <v>157</v>
      </c>
      <c r="G35" s="21">
        <v>43332</v>
      </c>
      <c r="H35" s="14" t="s">
        <v>572</v>
      </c>
      <c r="I35" s="36"/>
      <c r="J35" s="15"/>
      <c r="K35" s="15"/>
      <c r="L35" s="15"/>
      <c r="M35" s="16"/>
      <c r="N35" s="1"/>
      <c r="O35" s="1"/>
      <c r="P35" s="1"/>
    </row>
    <row r="36" spans="1:16" x14ac:dyDescent="0.25">
      <c r="A36" s="13" t="s">
        <v>1194</v>
      </c>
      <c r="B36" s="13" t="s">
        <v>1195</v>
      </c>
      <c r="C36" s="14" t="s">
        <v>1522</v>
      </c>
      <c r="D36" s="14" t="s">
        <v>570</v>
      </c>
      <c r="E36" s="13" t="s">
        <v>671</v>
      </c>
      <c r="F36" s="13" t="s">
        <v>157</v>
      </c>
      <c r="G36" s="21">
        <v>43332</v>
      </c>
      <c r="H36" s="14" t="s">
        <v>953</v>
      </c>
      <c r="I36" s="36"/>
      <c r="J36" s="15"/>
      <c r="K36" s="15"/>
      <c r="L36" s="15"/>
      <c r="M36" s="16"/>
      <c r="N36" s="1"/>
      <c r="O36" s="1"/>
      <c r="P36" s="1"/>
    </row>
    <row r="37" spans="1:16" x14ac:dyDescent="0.25">
      <c r="A37" s="13" t="s">
        <v>1200</v>
      </c>
      <c r="B37" s="13" t="s">
        <v>1201</v>
      </c>
      <c r="C37" s="14" t="s">
        <v>1522</v>
      </c>
      <c r="D37" s="14" t="s">
        <v>570</v>
      </c>
      <c r="E37" s="13" t="s">
        <v>671</v>
      </c>
      <c r="F37" s="13" t="s">
        <v>157</v>
      </c>
      <c r="G37" s="21">
        <v>43339</v>
      </c>
      <c r="H37" s="14" t="s">
        <v>953</v>
      </c>
      <c r="I37" s="36"/>
      <c r="J37" s="15"/>
      <c r="K37" s="15"/>
      <c r="L37" s="15"/>
      <c r="M37" s="16"/>
      <c r="N37" s="1"/>
      <c r="O37" s="1"/>
      <c r="P37" s="1"/>
    </row>
    <row r="38" spans="1:16" x14ac:dyDescent="0.25">
      <c r="A38" s="13" t="s">
        <v>1207</v>
      </c>
      <c r="B38" s="13" t="s">
        <v>1208</v>
      </c>
      <c r="C38" s="14" t="s">
        <v>1522</v>
      </c>
      <c r="D38" s="14" t="s">
        <v>570</v>
      </c>
      <c r="E38" s="13" t="s">
        <v>671</v>
      </c>
      <c r="F38" s="13" t="s">
        <v>157</v>
      </c>
      <c r="G38" s="21">
        <v>43368</v>
      </c>
      <c r="H38" s="14" t="s">
        <v>569</v>
      </c>
      <c r="I38" s="36"/>
      <c r="J38" s="15"/>
      <c r="K38" s="15"/>
      <c r="L38" s="15"/>
      <c r="M38" s="16"/>
      <c r="N38" s="1"/>
      <c r="O38" s="1"/>
      <c r="P38" s="1"/>
    </row>
    <row r="39" spans="1:16" x14ac:dyDescent="0.25">
      <c r="A39" s="13" t="s">
        <v>1253</v>
      </c>
      <c r="B39" s="13" t="s">
        <v>1254</v>
      </c>
      <c r="C39" s="14" t="s">
        <v>1522</v>
      </c>
      <c r="D39" s="14" t="s">
        <v>570</v>
      </c>
      <c r="E39" s="13" t="s">
        <v>671</v>
      </c>
      <c r="F39" s="13" t="s">
        <v>157</v>
      </c>
      <c r="G39" s="21">
        <v>43389</v>
      </c>
      <c r="H39" s="14" t="s">
        <v>569</v>
      </c>
      <c r="I39" s="36"/>
      <c r="J39" s="15"/>
      <c r="K39" s="15"/>
      <c r="L39" s="15"/>
      <c r="M39" s="16"/>
      <c r="N39" s="1"/>
      <c r="O39" s="1"/>
      <c r="P39" s="1"/>
    </row>
    <row r="40" spans="1:16" x14ac:dyDescent="0.25">
      <c r="A40" s="13" t="s">
        <v>1346</v>
      </c>
      <c r="B40" s="13" t="s">
        <v>1321</v>
      </c>
      <c r="C40" s="14" t="s">
        <v>1522</v>
      </c>
      <c r="D40" s="14" t="s">
        <v>570</v>
      </c>
      <c r="E40" s="13" t="s">
        <v>1291</v>
      </c>
      <c r="F40" s="13" t="s">
        <v>157</v>
      </c>
      <c r="G40" s="21">
        <v>43437</v>
      </c>
      <c r="H40" s="14" t="s">
        <v>949</v>
      </c>
      <c r="I40" s="36"/>
      <c r="J40" s="15"/>
      <c r="K40" s="15"/>
      <c r="L40" s="15"/>
      <c r="M40" s="16"/>
      <c r="N40" s="1"/>
      <c r="O40" s="1"/>
      <c r="P40" s="1"/>
    </row>
    <row r="41" spans="1:16" x14ac:dyDescent="0.25">
      <c r="A41" s="13" t="s">
        <v>1523</v>
      </c>
      <c r="B41" s="13" t="s">
        <v>1524</v>
      </c>
      <c r="C41" s="14" t="s">
        <v>1522</v>
      </c>
      <c r="D41" s="14" t="s">
        <v>570</v>
      </c>
      <c r="E41" s="13" t="s">
        <v>1525</v>
      </c>
      <c r="F41" s="13" t="s">
        <v>157</v>
      </c>
      <c r="G41" s="21">
        <v>43516</v>
      </c>
      <c r="H41" s="14" t="s">
        <v>949</v>
      </c>
      <c r="I41" s="36"/>
      <c r="J41" s="15"/>
      <c r="K41" s="15"/>
      <c r="L41" s="15"/>
      <c r="M41" s="16"/>
      <c r="N41" s="1"/>
      <c r="O41" s="1"/>
      <c r="P41" s="1"/>
    </row>
    <row r="42" spans="1:16" x14ac:dyDescent="0.25">
      <c r="A42" s="13" t="s">
        <v>1526</v>
      </c>
      <c r="B42" s="13" t="s">
        <v>1527</v>
      </c>
      <c r="C42" s="14" t="s">
        <v>1522</v>
      </c>
      <c r="D42" s="14" t="s">
        <v>570</v>
      </c>
      <c r="E42" s="13" t="s">
        <v>1291</v>
      </c>
      <c r="F42" s="13" t="s">
        <v>157</v>
      </c>
      <c r="G42" s="21">
        <v>43521</v>
      </c>
      <c r="H42" s="14" t="s">
        <v>569</v>
      </c>
      <c r="I42" s="36"/>
      <c r="J42" s="15"/>
      <c r="K42" s="15"/>
      <c r="L42" s="15"/>
      <c r="M42" s="16"/>
      <c r="N42" s="1"/>
      <c r="O42" s="1"/>
      <c r="P42" s="1"/>
    </row>
    <row r="43" spans="1:16" x14ac:dyDescent="0.25">
      <c r="A43" s="13" t="s">
        <v>1528</v>
      </c>
      <c r="B43" s="13" t="s">
        <v>1529</v>
      </c>
      <c r="C43" s="14" t="s">
        <v>1522</v>
      </c>
      <c r="D43" s="14" t="s">
        <v>570</v>
      </c>
      <c r="E43" s="13" t="s">
        <v>1291</v>
      </c>
      <c r="F43" s="13" t="s">
        <v>157</v>
      </c>
      <c r="G43" s="21">
        <v>43522</v>
      </c>
      <c r="H43" s="14" t="s">
        <v>949</v>
      </c>
      <c r="I43" s="36"/>
      <c r="J43" s="15"/>
      <c r="K43" s="15"/>
      <c r="L43" s="15"/>
      <c r="M43" s="16"/>
      <c r="N43" s="1"/>
      <c r="O43" s="1"/>
      <c r="P43" s="1"/>
    </row>
    <row r="44" spans="1:16" x14ac:dyDescent="0.25">
      <c r="A44" s="13" t="s">
        <v>1530</v>
      </c>
      <c r="B44" s="13" t="s">
        <v>1531</v>
      </c>
      <c r="C44" s="14" t="s">
        <v>1522</v>
      </c>
      <c r="D44" s="14" t="s">
        <v>570</v>
      </c>
      <c r="E44" s="13" t="s">
        <v>1291</v>
      </c>
      <c r="F44" s="13" t="s">
        <v>157</v>
      </c>
      <c r="G44" s="21">
        <v>43525</v>
      </c>
      <c r="H44" s="14" t="s">
        <v>949</v>
      </c>
      <c r="I44" s="36"/>
      <c r="J44" s="15"/>
      <c r="K44" s="15"/>
      <c r="L44" s="15"/>
      <c r="M44" s="16"/>
      <c r="N44" s="1"/>
      <c r="O44" s="1"/>
      <c r="P44" s="1"/>
    </row>
    <row r="45" spans="1:16" x14ac:dyDescent="0.25">
      <c r="A45" s="13" t="s">
        <v>1532</v>
      </c>
      <c r="B45" s="13" t="s">
        <v>1533</v>
      </c>
      <c r="C45" s="14" t="s">
        <v>1522</v>
      </c>
      <c r="D45" s="14" t="s">
        <v>570</v>
      </c>
      <c r="E45" s="13" t="s">
        <v>1291</v>
      </c>
      <c r="F45" s="13" t="s">
        <v>157</v>
      </c>
      <c r="G45" s="21">
        <v>43525</v>
      </c>
      <c r="H45" s="14" t="s">
        <v>949</v>
      </c>
      <c r="I45" s="36"/>
      <c r="J45" s="15"/>
      <c r="K45" s="15"/>
      <c r="L45" s="15"/>
      <c r="M45" s="16"/>
      <c r="N45" s="1"/>
      <c r="O45" s="1"/>
      <c r="P45" s="1"/>
    </row>
    <row r="46" spans="1:16" x14ac:dyDescent="0.25">
      <c r="A46" s="13" t="s">
        <v>867</v>
      </c>
      <c r="B46" s="13" t="s">
        <v>152</v>
      </c>
      <c r="C46" s="14" t="s">
        <v>1522</v>
      </c>
      <c r="D46" s="14" t="s">
        <v>150</v>
      </c>
      <c r="E46" s="13" t="s">
        <v>868</v>
      </c>
      <c r="F46" s="13" t="s">
        <v>24</v>
      </c>
      <c r="G46" s="21">
        <v>43108</v>
      </c>
      <c r="H46" s="14" t="s">
        <v>179</v>
      </c>
      <c r="I46" s="36"/>
      <c r="J46" s="15"/>
      <c r="K46" s="15"/>
      <c r="L46" s="15"/>
      <c r="M46" s="16"/>
      <c r="N46" s="1"/>
      <c r="O46" s="1"/>
      <c r="P46" s="1"/>
    </row>
    <row r="47" spans="1:16" x14ac:dyDescent="0.25">
      <c r="A47" s="13" t="s">
        <v>912</v>
      </c>
      <c r="B47" s="13" t="s">
        <v>913</v>
      </c>
      <c r="C47" s="14" t="s">
        <v>1522</v>
      </c>
      <c r="D47" s="14" t="s">
        <v>150</v>
      </c>
      <c r="E47" s="13" t="s">
        <v>914</v>
      </c>
      <c r="F47" s="13" t="s">
        <v>80</v>
      </c>
      <c r="G47" s="21">
        <v>43189</v>
      </c>
      <c r="H47" s="14" t="s">
        <v>152</v>
      </c>
      <c r="I47" s="36"/>
      <c r="J47" s="15"/>
      <c r="K47" s="15"/>
      <c r="L47" s="15"/>
      <c r="M47" s="16"/>
      <c r="N47" s="1"/>
      <c r="O47" s="1"/>
      <c r="P47" s="1"/>
    </row>
    <row r="48" spans="1:16" x14ac:dyDescent="0.25">
      <c r="A48" s="13" t="s">
        <v>165</v>
      </c>
      <c r="B48" s="13" t="s">
        <v>166</v>
      </c>
      <c r="C48" s="14" t="s">
        <v>1522</v>
      </c>
      <c r="D48" s="14" t="s">
        <v>150</v>
      </c>
      <c r="E48" s="13" t="s">
        <v>167</v>
      </c>
      <c r="F48" s="13" t="s">
        <v>55</v>
      </c>
      <c r="G48" s="21">
        <v>42198</v>
      </c>
      <c r="H48" s="14" t="s">
        <v>168</v>
      </c>
      <c r="I48" s="36"/>
      <c r="J48" s="15"/>
      <c r="K48" s="15"/>
      <c r="L48" s="15"/>
      <c r="M48" s="16"/>
      <c r="N48" s="1"/>
      <c r="O48" s="1"/>
      <c r="P48" s="1"/>
    </row>
    <row r="49" spans="1:16" x14ac:dyDescent="0.25">
      <c r="A49" s="13" t="s">
        <v>753</v>
      </c>
      <c r="B49" s="13" t="s">
        <v>754</v>
      </c>
      <c r="C49" s="14" t="s">
        <v>1522</v>
      </c>
      <c r="D49" s="14" t="s">
        <v>150</v>
      </c>
      <c r="E49" s="13" t="s">
        <v>167</v>
      </c>
      <c r="F49" s="13" t="s">
        <v>55</v>
      </c>
      <c r="G49" s="21">
        <v>42921</v>
      </c>
      <c r="H49" s="14" t="s">
        <v>168</v>
      </c>
      <c r="I49" s="36"/>
      <c r="J49" s="15"/>
      <c r="K49" s="15"/>
      <c r="L49" s="15"/>
      <c r="M49" s="16"/>
      <c r="N49" s="1"/>
      <c r="O49" s="1"/>
      <c r="P49" s="1"/>
    </row>
    <row r="50" spans="1:16" x14ac:dyDescent="0.25">
      <c r="A50" s="13" t="s">
        <v>1120</v>
      </c>
      <c r="B50" s="13" t="s">
        <v>1121</v>
      </c>
      <c r="C50" s="14" t="s">
        <v>1522</v>
      </c>
      <c r="D50" s="14" t="s">
        <v>150</v>
      </c>
      <c r="E50" s="13" t="s">
        <v>1122</v>
      </c>
      <c r="F50" s="13" t="s">
        <v>93</v>
      </c>
      <c r="G50" s="21">
        <v>43297</v>
      </c>
      <c r="H50" s="14" t="s">
        <v>168</v>
      </c>
      <c r="I50" s="36"/>
      <c r="J50" s="15"/>
      <c r="K50" s="15"/>
      <c r="L50" s="15"/>
      <c r="M50" s="16"/>
      <c r="N50" s="1"/>
      <c r="O50" s="1"/>
      <c r="P50" s="1"/>
    </row>
    <row r="51" spans="1:16" x14ac:dyDescent="0.25">
      <c r="A51" s="13" t="s">
        <v>377</v>
      </c>
      <c r="B51" s="13" t="s">
        <v>378</v>
      </c>
      <c r="C51" s="14" t="s">
        <v>1522</v>
      </c>
      <c r="D51" s="14" t="s">
        <v>150</v>
      </c>
      <c r="E51" s="13" t="s">
        <v>167</v>
      </c>
      <c r="F51" s="13" t="s">
        <v>80</v>
      </c>
      <c r="G51" s="21">
        <v>42506</v>
      </c>
      <c r="H51" s="14" t="s">
        <v>152</v>
      </c>
      <c r="I51" s="36"/>
      <c r="J51" s="15"/>
      <c r="K51" s="15"/>
      <c r="L51" s="15"/>
      <c r="M51" s="16"/>
      <c r="N51" s="1"/>
      <c r="O51" s="1"/>
      <c r="P51" s="1"/>
    </row>
    <row r="52" spans="1:16" x14ac:dyDescent="0.25">
      <c r="A52" s="13" t="s">
        <v>451</v>
      </c>
      <c r="B52" s="13" t="s">
        <v>168</v>
      </c>
      <c r="C52" s="14" t="s">
        <v>1522</v>
      </c>
      <c r="D52" s="14" t="s">
        <v>150</v>
      </c>
      <c r="E52" s="13" t="s">
        <v>151</v>
      </c>
      <c r="F52" s="13" t="s">
        <v>80</v>
      </c>
      <c r="G52" s="21">
        <v>42562</v>
      </c>
      <c r="H52" s="14" t="s">
        <v>152</v>
      </c>
      <c r="I52" s="36"/>
      <c r="J52" s="15"/>
      <c r="K52" s="15"/>
      <c r="L52" s="15"/>
      <c r="M52" s="16"/>
      <c r="N52" s="1"/>
      <c r="O52" s="1"/>
      <c r="P52" s="1"/>
    </row>
    <row r="53" spans="1:16" x14ac:dyDescent="0.25">
      <c r="A53" s="13" t="s">
        <v>517</v>
      </c>
      <c r="B53" s="13" t="s">
        <v>518</v>
      </c>
      <c r="C53" s="14" t="s">
        <v>1522</v>
      </c>
      <c r="D53" s="14" t="s">
        <v>150</v>
      </c>
      <c r="E53" s="13" t="s">
        <v>167</v>
      </c>
      <c r="F53" s="13" t="s">
        <v>12</v>
      </c>
      <c r="G53" s="21">
        <v>42618</v>
      </c>
      <c r="H53" s="14" t="s">
        <v>168</v>
      </c>
      <c r="I53" s="36"/>
      <c r="J53" s="15"/>
      <c r="K53" s="15"/>
      <c r="L53" s="15"/>
      <c r="M53" s="16"/>
      <c r="N53" s="1"/>
      <c r="O53" s="1"/>
      <c r="P53" s="1"/>
    </row>
    <row r="54" spans="1:16" x14ac:dyDescent="0.25">
      <c r="A54" s="13" t="s">
        <v>892</v>
      </c>
      <c r="B54" s="13" t="s">
        <v>893</v>
      </c>
      <c r="C54" s="14" t="s">
        <v>1522</v>
      </c>
      <c r="D54" s="14" t="s">
        <v>150</v>
      </c>
      <c r="E54" s="13" t="s">
        <v>151</v>
      </c>
      <c r="F54" s="13" t="s">
        <v>80</v>
      </c>
      <c r="G54" s="21">
        <v>43171</v>
      </c>
      <c r="H54" s="14" t="s">
        <v>152</v>
      </c>
      <c r="I54" s="36"/>
      <c r="J54" s="15"/>
      <c r="K54" s="15"/>
      <c r="L54" s="15"/>
      <c r="M54" s="16"/>
      <c r="N54" s="1"/>
      <c r="O54" s="1"/>
      <c r="P54" s="1"/>
    </row>
    <row r="55" spans="1:16" x14ac:dyDescent="0.25">
      <c r="A55" s="13" t="s">
        <v>148</v>
      </c>
      <c r="B55" s="13" t="s">
        <v>149</v>
      </c>
      <c r="C55" s="14" t="s">
        <v>1522</v>
      </c>
      <c r="D55" s="14" t="s">
        <v>150</v>
      </c>
      <c r="E55" s="13" t="s">
        <v>151</v>
      </c>
      <c r="F55" s="13" t="s">
        <v>80</v>
      </c>
      <c r="G55" s="21">
        <v>42156</v>
      </c>
      <c r="H55" s="14" t="s">
        <v>152</v>
      </c>
      <c r="I55" s="36"/>
      <c r="J55" s="15"/>
      <c r="K55" s="15"/>
      <c r="L55" s="15"/>
      <c r="M55" s="16"/>
      <c r="N55" s="1"/>
      <c r="O55" s="1"/>
      <c r="P55" s="1"/>
    </row>
    <row r="56" spans="1:16" x14ac:dyDescent="0.25">
      <c r="A56" s="13" t="s">
        <v>128</v>
      </c>
      <c r="B56" s="13" t="s">
        <v>129</v>
      </c>
      <c r="C56" s="14" t="s">
        <v>1522</v>
      </c>
      <c r="D56" s="14" t="s">
        <v>1534</v>
      </c>
      <c r="E56" s="13" t="s">
        <v>68</v>
      </c>
      <c r="F56" s="13" t="s">
        <v>47</v>
      </c>
      <c r="G56" s="21">
        <v>42060</v>
      </c>
      <c r="H56" s="14" t="s">
        <v>71</v>
      </c>
      <c r="I56" s="36"/>
      <c r="J56" s="15"/>
      <c r="K56" s="15"/>
      <c r="L56" s="15"/>
      <c r="M56" s="16"/>
      <c r="N56" s="1"/>
      <c r="O56" s="1"/>
      <c r="P56" s="1"/>
    </row>
    <row r="57" spans="1:16" x14ac:dyDescent="0.25">
      <c r="A57" s="13" t="s">
        <v>186</v>
      </c>
      <c r="B57" s="13" t="s">
        <v>187</v>
      </c>
      <c r="C57" s="14" t="s">
        <v>1522</v>
      </c>
      <c r="D57" s="14" t="s">
        <v>1534</v>
      </c>
      <c r="E57" s="13" t="s">
        <v>86</v>
      </c>
      <c r="F57" s="13" t="s">
        <v>80</v>
      </c>
      <c r="G57" s="21">
        <v>42248</v>
      </c>
      <c r="H57" s="14" t="s">
        <v>87</v>
      </c>
      <c r="I57" s="36"/>
      <c r="J57" s="15"/>
      <c r="K57" s="15"/>
      <c r="L57" s="15"/>
      <c r="M57" s="16"/>
      <c r="N57" s="1"/>
      <c r="O57" s="1"/>
      <c r="P57" s="1"/>
    </row>
    <row r="58" spans="1:16" x14ac:dyDescent="0.25">
      <c r="A58" s="13" t="s">
        <v>223</v>
      </c>
      <c r="B58" s="13" t="s">
        <v>224</v>
      </c>
      <c r="C58" s="14" t="s">
        <v>1522</v>
      </c>
      <c r="D58" s="14" t="s">
        <v>1534</v>
      </c>
      <c r="E58" s="13" t="s">
        <v>49</v>
      </c>
      <c r="F58" s="13" t="s">
        <v>12</v>
      </c>
      <c r="G58" s="21">
        <v>42310</v>
      </c>
      <c r="H58" s="14" t="s">
        <v>225</v>
      </c>
      <c r="I58" s="36"/>
      <c r="J58" s="15"/>
      <c r="K58" s="15"/>
      <c r="L58" s="15"/>
      <c r="M58" s="16"/>
      <c r="N58" s="1"/>
      <c r="O58" s="1"/>
      <c r="P58" s="1"/>
    </row>
    <row r="59" spans="1:16" x14ac:dyDescent="0.25">
      <c r="A59" s="13" t="s">
        <v>241</v>
      </c>
      <c r="B59" s="13" t="s">
        <v>242</v>
      </c>
      <c r="C59" s="14" t="s">
        <v>1522</v>
      </c>
      <c r="D59" s="14" t="s">
        <v>1534</v>
      </c>
      <c r="E59" s="13" t="s">
        <v>243</v>
      </c>
      <c r="F59" s="13" t="s">
        <v>55</v>
      </c>
      <c r="G59" s="21">
        <v>42331</v>
      </c>
      <c r="H59" s="14" t="s">
        <v>87</v>
      </c>
      <c r="I59" s="36"/>
      <c r="J59" s="15"/>
      <c r="K59" s="15"/>
      <c r="L59" s="15"/>
      <c r="M59" s="16"/>
      <c r="N59" s="1"/>
      <c r="O59" s="1"/>
      <c r="P59" s="1"/>
    </row>
    <row r="60" spans="1:16" x14ac:dyDescent="0.25">
      <c r="A60" s="13" t="s">
        <v>348</v>
      </c>
      <c r="B60" s="13" t="s">
        <v>349</v>
      </c>
      <c r="C60" s="14" t="s">
        <v>1522</v>
      </c>
      <c r="D60" s="14" t="s">
        <v>1534</v>
      </c>
      <c r="E60" s="13" t="s">
        <v>86</v>
      </c>
      <c r="F60" s="13" t="s">
        <v>55</v>
      </c>
      <c r="G60" s="21">
        <v>42485</v>
      </c>
      <c r="H60" s="14" t="s">
        <v>87</v>
      </c>
      <c r="I60" s="36"/>
      <c r="J60" s="15"/>
      <c r="K60" s="15"/>
      <c r="L60" s="15"/>
      <c r="M60" s="16"/>
      <c r="N60" s="1"/>
      <c r="O60" s="1"/>
      <c r="P60" s="1"/>
    </row>
    <row r="61" spans="1:16" x14ac:dyDescent="0.25">
      <c r="A61" s="13" t="s">
        <v>379</v>
      </c>
      <c r="B61" s="13" t="s">
        <v>380</v>
      </c>
      <c r="C61" s="14" t="s">
        <v>1522</v>
      </c>
      <c r="D61" s="14" t="s">
        <v>1534</v>
      </c>
      <c r="E61" s="13" t="s">
        <v>49</v>
      </c>
      <c r="F61" s="13" t="s">
        <v>12</v>
      </c>
      <c r="G61" s="21">
        <v>42508</v>
      </c>
      <c r="H61" s="14" t="s">
        <v>225</v>
      </c>
      <c r="I61" s="36"/>
      <c r="J61" s="15"/>
      <c r="K61" s="15"/>
      <c r="L61" s="15"/>
      <c r="M61" s="16"/>
      <c r="N61" s="1"/>
      <c r="O61" s="1"/>
      <c r="P61" s="1"/>
    </row>
    <row r="62" spans="1:16" x14ac:dyDescent="0.25">
      <c r="A62" s="13" t="s">
        <v>690</v>
      </c>
      <c r="B62" s="13" t="s">
        <v>691</v>
      </c>
      <c r="C62" s="14" t="s">
        <v>1522</v>
      </c>
      <c r="D62" s="14" t="s">
        <v>1534</v>
      </c>
      <c r="E62" s="13" t="s">
        <v>692</v>
      </c>
      <c r="F62" s="13" t="s">
        <v>12</v>
      </c>
      <c r="G62" s="21">
        <v>42809</v>
      </c>
      <c r="H62" s="14" t="s">
        <v>97</v>
      </c>
      <c r="I62" s="36"/>
      <c r="J62" s="15"/>
      <c r="K62" s="15"/>
      <c r="L62" s="15"/>
      <c r="M62" s="16"/>
      <c r="N62" s="1"/>
      <c r="O62" s="1"/>
      <c r="P62" s="1"/>
    </row>
    <row r="63" spans="1:16" x14ac:dyDescent="0.25">
      <c r="A63" s="13" t="s">
        <v>220</v>
      </c>
      <c r="B63" s="13" t="s">
        <v>221</v>
      </c>
      <c r="C63" s="14" t="s">
        <v>1522</v>
      </c>
      <c r="D63" s="14" t="s">
        <v>1534</v>
      </c>
      <c r="E63" s="13" t="s">
        <v>222</v>
      </c>
      <c r="F63" s="13" t="s">
        <v>80</v>
      </c>
      <c r="G63" s="21">
        <v>42310</v>
      </c>
      <c r="H63" s="14" t="s">
        <v>129</v>
      </c>
      <c r="I63" s="36"/>
      <c r="J63" s="15"/>
      <c r="K63" s="15"/>
      <c r="L63" s="15"/>
      <c r="M63" s="16"/>
      <c r="N63" s="1"/>
      <c r="O63" s="1"/>
      <c r="P63" s="1"/>
    </row>
    <row r="64" spans="1:16" x14ac:dyDescent="0.25">
      <c r="A64" s="13" t="s">
        <v>252</v>
      </c>
      <c r="B64" s="13" t="s">
        <v>253</v>
      </c>
      <c r="C64" s="14" t="s">
        <v>1522</v>
      </c>
      <c r="D64" s="14" t="s">
        <v>1534</v>
      </c>
      <c r="E64" s="13" t="s">
        <v>254</v>
      </c>
      <c r="F64" s="13" t="s">
        <v>80</v>
      </c>
      <c r="G64" s="21">
        <v>42345</v>
      </c>
      <c r="H64" s="14" t="s">
        <v>129</v>
      </c>
      <c r="I64" s="36"/>
      <c r="J64" s="15"/>
      <c r="K64" s="15"/>
      <c r="L64" s="15"/>
      <c r="M64" s="16"/>
      <c r="N64" s="1"/>
      <c r="O64" s="1"/>
      <c r="P64" s="1"/>
    </row>
    <row r="65" spans="1:16" x14ac:dyDescent="0.25">
      <c r="A65" s="13" t="s">
        <v>337</v>
      </c>
      <c r="B65" s="13" t="s">
        <v>338</v>
      </c>
      <c r="C65" s="14" t="s">
        <v>1522</v>
      </c>
      <c r="D65" s="14" t="s">
        <v>1534</v>
      </c>
      <c r="E65" s="13" t="s">
        <v>108</v>
      </c>
      <c r="F65" s="13" t="s">
        <v>80</v>
      </c>
      <c r="G65" s="21">
        <v>42481</v>
      </c>
      <c r="H65" s="14" t="s">
        <v>253</v>
      </c>
      <c r="I65" s="36"/>
      <c r="J65" s="15"/>
      <c r="K65" s="15"/>
      <c r="L65" s="15"/>
      <c r="M65" s="16"/>
      <c r="N65" s="1"/>
      <c r="O65" s="1"/>
      <c r="P65" s="1"/>
    </row>
    <row r="66" spans="1:16" x14ac:dyDescent="0.25">
      <c r="A66" s="13" t="s">
        <v>447</v>
      </c>
      <c r="B66" s="13" t="s">
        <v>448</v>
      </c>
      <c r="C66" s="14" t="s">
        <v>1522</v>
      </c>
      <c r="D66" s="14" t="s">
        <v>1534</v>
      </c>
      <c r="E66" s="13" t="s">
        <v>108</v>
      </c>
      <c r="F66" s="13" t="s">
        <v>12</v>
      </c>
      <c r="G66" s="21">
        <v>42557</v>
      </c>
      <c r="H66" s="14" t="s">
        <v>221</v>
      </c>
      <c r="I66" s="36"/>
      <c r="J66" s="15"/>
      <c r="K66" s="15"/>
      <c r="L66" s="15"/>
      <c r="M66" s="16"/>
      <c r="N66" s="1"/>
      <c r="O66" s="1"/>
      <c r="P66" s="1"/>
    </row>
    <row r="67" spans="1:16" x14ac:dyDescent="0.25">
      <c r="A67" s="13" t="s">
        <v>564</v>
      </c>
      <c r="B67" s="13" t="s">
        <v>565</v>
      </c>
      <c r="C67" s="14" t="s">
        <v>1522</v>
      </c>
      <c r="D67" s="14" t="s">
        <v>1534</v>
      </c>
      <c r="E67" s="13" t="s">
        <v>108</v>
      </c>
      <c r="F67" s="13" t="s">
        <v>56</v>
      </c>
      <c r="G67" s="21">
        <v>42655</v>
      </c>
      <c r="H67" s="14" t="s">
        <v>253</v>
      </c>
      <c r="I67" s="36"/>
      <c r="J67" s="15"/>
      <c r="K67" s="15"/>
      <c r="L67" s="15"/>
      <c r="M67" s="16"/>
      <c r="N67" s="1"/>
      <c r="O67" s="1"/>
      <c r="P67" s="1"/>
    </row>
    <row r="68" spans="1:16" x14ac:dyDescent="0.25">
      <c r="A68" s="13" t="s">
        <v>566</v>
      </c>
      <c r="B68" s="13" t="s">
        <v>567</v>
      </c>
      <c r="C68" s="14" t="s">
        <v>1522</v>
      </c>
      <c r="D68" s="14" t="s">
        <v>1534</v>
      </c>
      <c r="E68" s="13" t="s">
        <v>108</v>
      </c>
      <c r="F68" s="13" t="s">
        <v>80</v>
      </c>
      <c r="G68" s="21">
        <v>42662</v>
      </c>
      <c r="H68" s="14" t="s">
        <v>253</v>
      </c>
      <c r="I68" s="36"/>
      <c r="J68" s="15"/>
      <c r="K68" s="15"/>
      <c r="L68" s="15"/>
      <c r="M68" s="16"/>
      <c r="N68" s="1"/>
      <c r="O68" s="1"/>
      <c r="P68" s="1"/>
    </row>
    <row r="69" spans="1:16" x14ac:dyDescent="0.25">
      <c r="A69" s="13" t="s">
        <v>823</v>
      </c>
      <c r="B69" s="13" t="s">
        <v>824</v>
      </c>
      <c r="C69" s="14" t="s">
        <v>1522</v>
      </c>
      <c r="D69" s="14" t="s">
        <v>1534</v>
      </c>
      <c r="E69" s="13" t="s">
        <v>108</v>
      </c>
      <c r="F69" s="13" t="s">
        <v>80</v>
      </c>
      <c r="G69" s="21">
        <v>43005</v>
      </c>
      <c r="H69" s="14" t="s">
        <v>221</v>
      </c>
      <c r="I69" s="36"/>
      <c r="J69" s="15"/>
      <c r="K69" s="15"/>
      <c r="L69" s="15"/>
      <c r="M69" s="16"/>
      <c r="N69" s="1"/>
      <c r="O69" s="1"/>
      <c r="P69" s="1"/>
    </row>
    <row r="70" spans="1:16" x14ac:dyDescent="0.25">
      <c r="A70" s="13" t="s">
        <v>464</v>
      </c>
      <c r="B70" s="13" t="s">
        <v>34</v>
      </c>
      <c r="C70" s="14" t="s">
        <v>1522</v>
      </c>
      <c r="D70" s="14" t="s">
        <v>1534</v>
      </c>
      <c r="E70" s="13" t="s">
        <v>465</v>
      </c>
      <c r="F70" s="13" t="s">
        <v>80</v>
      </c>
      <c r="G70" s="21">
        <v>42571</v>
      </c>
      <c r="H70" s="14" t="s">
        <v>129</v>
      </c>
      <c r="I70" s="36"/>
      <c r="J70" s="15"/>
      <c r="K70" s="15"/>
      <c r="L70" s="15"/>
      <c r="M70" s="16"/>
      <c r="N70" s="1"/>
      <c r="O70" s="1"/>
      <c r="P70" s="1"/>
    </row>
    <row r="71" spans="1:16" x14ac:dyDescent="0.25">
      <c r="A71" s="13" t="s">
        <v>30</v>
      </c>
      <c r="B71" s="13" t="s">
        <v>31</v>
      </c>
      <c r="C71" s="14" t="s">
        <v>1522</v>
      </c>
      <c r="D71" s="14" t="s">
        <v>1534</v>
      </c>
      <c r="E71" s="13" t="s">
        <v>33</v>
      </c>
      <c r="F71" s="13" t="s">
        <v>12</v>
      </c>
      <c r="G71" s="21">
        <v>40652</v>
      </c>
      <c r="H71" s="14" t="s">
        <v>34</v>
      </c>
      <c r="I71" s="36"/>
      <c r="J71" s="15"/>
      <c r="K71" s="15"/>
      <c r="L71" s="15"/>
      <c r="M71" s="16"/>
      <c r="N71" s="1"/>
      <c r="O71" s="1"/>
      <c r="P71" s="1"/>
    </row>
    <row r="72" spans="1:16" x14ac:dyDescent="0.25">
      <c r="A72" s="13" t="s">
        <v>126</v>
      </c>
      <c r="B72" s="13" t="s">
        <v>127</v>
      </c>
      <c r="C72" s="14" t="s">
        <v>1522</v>
      </c>
      <c r="D72" s="14" t="s">
        <v>1534</v>
      </c>
      <c r="E72" s="13" t="s">
        <v>33</v>
      </c>
      <c r="F72" s="13" t="s">
        <v>80</v>
      </c>
      <c r="G72" s="21">
        <v>42044</v>
      </c>
      <c r="H72" s="14" t="s">
        <v>34</v>
      </c>
      <c r="I72" s="36"/>
      <c r="J72" s="15"/>
      <c r="K72" s="15"/>
      <c r="L72" s="15"/>
      <c r="M72" s="16"/>
      <c r="N72" s="1"/>
      <c r="O72" s="1"/>
      <c r="P72" s="1"/>
    </row>
    <row r="73" spans="1:16" x14ac:dyDescent="0.25">
      <c r="A73" s="13" t="s">
        <v>454</v>
      </c>
      <c r="B73" s="13" t="s">
        <v>455</v>
      </c>
      <c r="C73" s="14" t="s">
        <v>1522</v>
      </c>
      <c r="D73" s="14" t="s">
        <v>1534</v>
      </c>
      <c r="E73" s="13" t="s">
        <v>33</v>
      </c>
      <c r="F73" s="13" t="s">
        <v>80</v>
      </c>
      <c r="G73" s="21">
        <v>42564</v>
      </c>
      <c r="H73" s="14" t="s">
        <v>34</v>
      </c>
      <c r="I73" s="36"/>
      <c r="J73" s="15"/>
      <c r="K73" s="15"/>
      <c r="L73" s="15"/>
      <c r="M73" s="16"/>
      <c r="N73" s="1"/>
      <c r="O73" s="1"/>
      <c r="P73" s="1"/>
    </row>
    <row r="74" spans="1:16" x14ac:dyDescent="0.25">
      <c r="A74" s="13" t="s">
        <v>198</v>
      </c>
      <c r="B74" s="13" t="s">
        <v>175</v>
      </c>
      <c r="C74" s="14" t="s">
        <v>1522</v>
      </c>
      <c r="D74" s="14" t="s">
        <v>173</v>
      </c>
      <c r="E74" s="13" t="s">
        <v>199</v>
      </c>
      <c r="F74" s="13" t="s">
        <v>56</v>
      </c>
      <c r="G74" s="21">
        <v>42264</v>
      </c>
      <c r="H74" s="14" t="s">
        <v>179</v>
      </c>
      <c r="I74" s="36"/>
      <c r="J74" s="15"/>
      <c r="K74" s="15"/>
      <c r="L74" s="15"/>
      <c r="M74" s="16"/>
      <c r="N74" s="1"/>
      <c r="O74" s="1"/>
      <c r="P74" s="1"/>
    </row>
    <row r="75" spans="1:16" x14ac:dyDescent="0.25">
      <c r="A75" s="13" t="s">
        <v>991</v>
      </c>
      <c r="B75" s="13" t="s">
        <v>992</v>
      </c>
      <c r="C75" s="14" t="s">
        <v>1522</v>
      </c>
      <c r="D75" s="14" t="s">
        <v>173</v>
      </c>
      <c r="E75" s="13" t="s">
        <v>993</v>
      </c>
      <c r="F75" s="13" t="s">
        <v>1483</v>
      </c>
      <c r="G75" s="21">
        <v>43237</v>
      </c>
      <c r="H75" s="14" t="s">
        <v>175</v>
      </c>
      <c r="I75" s="36"/>
      <c r="J75" s="15"/>
      <c r="K75" s="15"/>
      <c r="L75" s="15"/>
      <c r="M75" s="16"/>
      <c r="N75" s="1"/>
      <c r="O75" s="1"/>
      <c r="P75" s="1"/>
    </row>
    <row r="76" spans="1:16" x14ac:dyDescent="0.25">
      <c r="A76" s="13" t="s">
        <v>1090</v>
      </c>
      <c r="B76" s="13" t="s">
        <v>1091</v>
      </c>
      <c r="C76" s="14" t="s">
        <v>1522</v>
      </c>
      <c r="D76" s="14" t="s">
        <v>173</v>
      </c>
      <c r="E76" s="13" t="s">
        <v>320</v>
      </c>
      <c r="F76" s="13" t="s">
        <v>12</v>
      </c>
      <c r="G76" s="21">
        <v>43280</v>
      </c>
      <c r="H76" s="14" t="s">
        <v>175</v>
      </c>
      <c r="I76" s="36"/>
      <c r="J76" s="15"/>
      <c r="K76" s="15"/>
      <c r="L76" s="15"/>
      <c r="M76" s="16"/>
      <c r="N76" s="1"/>
      <c r="O76" s="1"/>
      <c r="P76" s="1"/>
    </row>
    <row r="77" spans="1:16" x14ac:dyDescent="0.25">
      <c r="A77" s="13" t="s">
        <v>367</v>
      </c>
      <c r="B77" s="13" t="s">
        <v>368</v>
      </c>
      <c r="C77" s="14" t="s">
        <v>1522</v>
      </c>
      <c r="D77" s="14" t="s">
        <v>173</v>
      </c>
      <c r="E77" s="13" t="s">
        <v>369</v>
      </c>
      <c r="F77" s="13" t="s">
        <v>12</v>
      </c>
      <c r="G77" s="21">
        <v>42494</v>
      </c>
      <c r="H77" s="14" t="s">
        <v>175</v>
      </c>
      <c r="I77" s="36"/>
      <c r="J77" s="15"/>
      <c r="K77" s="15"/>
      <c r="L77" s="15"/>
      <c r="M77" s="16"/>
      <c r="N77" s="1"/>
      <c r="O77" s="1"/>
      <c r="P77" s="1"/>
    </row>
    <row r="78" spans="1:16" x14ac:dyDescent="0.25">
      <c r="A78" s="13" t="s">
        <v>428</v>
      </c>
      <c r="B78" s="13" t="s">
        <v>429</v>
      </c>
      <c r="C78" s="14" t="s">
        <v>1522</v>
      </c>
      <c r="D78" s="14" t="s">
        <v>173</v>
      </c>
      <c r="E78" s="13" t="s">
        <v>430</v>
      </c>
      <c r="F78" s="13" t="s">
        <v>12</v>
      </c>
      <c r="G78" s="21">
        <v>42538</v>
      </c>
      <c r="H78" s="14" t="s">
        <v>175</v>
      </c>
      <c r="I78" s="36"/>
      <c r="J78" s="15"/>
      <c r="K78" s="15"/>
      <c r="L78" s="15"/>
      <c r="M78" s="16"/>
      <c r="N78" s="1"/>
      <c r="O78" s="1"/>
      <c r="P78" s="1"/>
    </row>
    <row r="79" spans="1:16" x14ac:dyDescent="0.25">
      <c r="A79" s="13" t="s">
        <v>751</v>
      </c>
      <c r="B79" s="13" t="s">
        <v>752</v>
      </c>
      <c r="C79" s="14" t="s">
        <v>1522</v>
      </c>
      <c r="D79" s="14" t="s">
        <v>173</v>
      </c>
      <c r="E79" s="13" t="s">
        <v>430</v>
      </c>
      <c r="F79" s="13" t="s">
        <v>12</v>
      </c>
      <c r="G79" s="21">
        <v>42919</v>
      </c>
      <c r="H79" s="14" t="s">
        <v>175</v>
      </c>
      <c r="I79" s="36"/>
      <c r="J79" s="15"/>
      <c r="K79" s="15"/>
      <c r="L79" s="15"/>
      <c r="M79" s="16"/>
      <c r="N79" s="1"/>
      <c r="O79" s="1"/>
      <c r="P79" s="1"/>
    </row>
    <row r="80" spans="1:16" x14ac:dyDescent="0.25">
      <c r="A80" s="13" t="s">
        <v>769</v>
      </c>
      <c r="B80" s="13" t="s">
        <v>770</v>
      </c>
      <c r="C80" s="14" t="s">
        <v>1522</v>
      </c>
      <c r="D80" s="14" t="s">
        <v>173</v>
      </c>
      <c r="E80" s="13" t="s">
        <v>369</v>
      </c>
      <c r="F80" s="13" t="s">
        <v>80</v>
      </c>
      <c r="G80" s="21">
        <v>42951</v>
      </c>
      <c r="H80" s="14" t="s">
        <v>175</v>
      </c>
      <c r="I80" s="36"/>
      <c r="J80" s="15"/>
      <c r="K80" s="15"/>
      <c r="L80" s="15"/>
      <c r="M80" s="16"/>
      <c r="N80" s="1"/>
      <c r="O80" s="1"/>
      <c r="P80" s="1"/>
    </row>
    <row r="81" spans="1:16" x14ac:dyDescent="0.25">
      <c r="A81" s="13" t="s">
        <v>1058</v>
      </c>
      <c r="B81" s="13" t="s">
        <v>1059</v>
      </c>
      <c r="C81" s="14" t="s">
        <v>1522</v>
      </c>
      <c r="D81" s="14" t="s">
        <v>173</v>
      </c>
      <c r="E81" s="13" t="s">
        <v>939</v>
      </c>
      <c r="F81" s="13" t="s">
        <v>1483</v>
      </c>
      <c r="G81" s="21">
        <v>43269</v>
      </c>
      <c r="H81" s="14" t="s">
        <v>175</v>
      </c>
      <c r="I81" s="36"/>
      <c r="J81" s="15"/>
      <c r="K81" s="15"/>
      <c r="L81" s="15"/>
      <c r="M81" s="16"/>
      <c r="N81" s="1"/>
      <c r="O81" s="1"/>
      <c r="P81" s="1"/>
    </row>
    <row r="82" spans="1:16" x14ac:dyDescent="0.25">
      <c r="A82" s="13" t="s">
        <v>1077</v>
      </c>
      <c r="B82" s="13" t="s">
        <v>1078</v>
      </c>
      <c r="C82" s="14" t="s">
        <v>1522</v>
      </c>
      <c r="D82" s="14" t="s">
        <v>173</v>
      </c>
      <c r="E82" s="13" t="s">
        <v>939</v>
      </c>
      <c r="F82" s="13" t="s">
        <v>12</v>
      </c>
      <c r="G82" s="21">
        <v>43271</v>
      </c>
      <c r="H82" s="14" t="s">
        <v>175</v>
      </c>
      <c r="I82" s="36"/>
      <c r="J82" s="15"/>
      <c r="K82" s="15"/>
      <c r="L82" s="15"/>
      <c r="M82" s="16"/>
      <c r="N82" s="1"/>
      <c r="O82" s="1"/>
      <c r="P82" s="1"/>
    </row>
    <row r="83" spans="1:16" x14ac:dyDescent="0.25">
      <c r="A83" s="13" t="s">
        <v>171</v>
      </c>
      <c r="B83" s="13" t="s">
        <v>172</v>
      </c>
      <c r="C83" s="14" t="s">
        <v>1522</v>
      </c>
      <c r="D83" s="14" t="s">
        <v>173</v>
      </c>
      <c r="E83" s="13" t="s">
        <v>174</v>
      </c>
      <c r="F83" s="13" t="s">
        <v>55</v>
      </c>
      <c r="G83" s="21">
        <v>42205</v>
      </c>
      <c r="H83" s="14" t="s">
        <v>175</v>
      </c>
      <c r="I83" s="36"/>
      <c r="J83" s="15"/>
      <c r="K83" s="15"/>
      <c r="L83" s="15"/>
      <c r="M83" s="16"/>
      <c r="N83" s="1"/>
      <c r="O83" s="1"/>
      <c r="P83" s="1"/>
    </row>
    <row r="84" spans="1:16" x14ac:dyDescent="0.25">
      <c r="A84" s="13" t="s">
        <v>305</v>
      </c>
      <c r="B84" s="13" t="s">
        <v>306</v>
      </c>
      <c r="C84" s="14" t="s">
        <v>1522</v>
      </c>
      <c r="D84" s="14" t="s">
        <v>173</v>
      </c>
      <c r="E84" s="13" t="s">
        <v>174</v>
      </c>
      <c r="F84" s="13" t="s">
        <v>12</v>
      </c>
      <c r="G84" s="21">
        <v>42457</v>
      </c>
      <c r="H84" s="14" t="s">
        <v>175</v>
      </c>
      <c r="I84" s="36"/>
      <c r="J84" s="15"/>
      <c r="K84" s="15"/>
      <c r="L84" s="15"/>
      <c r="M84" s="16"/>
      <c r="N84" s="1"/>
      <c r="O84" s="1"/>
      <c r="P84" s="1"/>
    </row>
    <row r="85" spans="1:16" x14ac:dyDescent="0.25">
      <c r="A85" s="13" t="s">
        <v>307</v>
      </c>
      <c r="B85" s="13" t="s">
        <v>308</v>
      </c>
      <c r="C85" s="14" t="s">
        <v>1522</v>
      </c>
      <c r="D85" s="14" t="s">
        <v>173</v>
      </c>
      <c r="E85" s="13" t="s">
        <v>174</v>
      </c>
      <c r="F85" s="13" t="s">
        <v>12</v>
      </c>
      <c r="G85" s="21">
        <v>42458</v>
      </c>
      <c r="H85" s="14" t="s">
        <v>175</v>
      </c>
      <c r="I85" s="36"/>
      <c r="J85" s="15"/>
      <c r="K85" s="15"/>
      <c r="L85" s="15"/>
      <c r="M85" s="16"/>
      <c r="N85" s="1"/>
      <c r="O85" s="1"/>
      <c r="P85" s="1"/>
    </row>
    <row r="86" spans="1:16" x14ac:dyDescent="0.25">
      <c r="A86" s="13" t="s">
        <v>1322</v>
      </c>
      <c r="B86" s="13" t="s">
        <v>54</v>
      </c>
      <c r="C86" s="14" t="s">
        <v>1522</v>
      </c>
      <c r="D86" s="14" t="s">
        <v>52</v>
      </c>
      <c r="E86" s="13" t="s">
        <v>1323</v>
      </c>
      <c r="F86" s="13" t="s">
        <v>24</v>
      </c>
      <c r="G86" s="21">
        <v>43430</v>
      </c>
      <c r="H86" s="14" t="s">
        <v>179</v>
      </c>
      <c r="I86" s="36"/>
      <c r="J86" s="15"/>
      <c r="K86" s="15"/>
      <c r="L86" s="15"/>
      <c r="M86" s="16"/>
      <c r="N86" s="1"/>
      <c r="O86" s="1"/>
      <c r="P86" s="1"/>
    </row>
    <row r="87" spans="1:16" x14ac:dyDescent="0.25">
      <c r="A87" s="13" t="s">
        <v>200</v>
      </c>
      <c r="B87" s="13" t="s">
        <v>23</v>
      </c>
      <c r="C87" s="14" t="s">
        <v>1522</v>
      </c>
      <c r="D87" s="14" t="s">
        <v>52</v>
      </c>
      <c r="E87" s="13" t="s">
        <v>180</v>
      </c>
      <c r="F87" s="13" t="s">
        <v>80</v>
      </c>
      <c r="G87" s="21">
        <v>42268</v>
      </c>
      <c r="H87" s="14" t="s">
        <v>179</v>
      </c>
      <c r="I87" s="36"/>
      <c r="J87" s="15"/>
      <c r="K87" s="15"/>
      <c r="L87" s="15"/>
      <c r="M87" s="16"/>
      <c r="N87" s="1"/>
      <c r="O87" s="1"/>
      <c r="P87" s="1"/>
    </row>
    <row r="88" spans="1:16" x14ac:dyDescent="0.25">
      <c r="A88" s="13" t="s">
        <v>699</v>
      </c>
      <c r="B88" s="13" t="s">
        <v>700</v>
      </c>
      <c r="C88" s="14" t="s">
        <v>1522</v>
      </c>
      <c r="D88" s="14" t="s">
        <v>52</v>
      </c>
      <c r="E88" s="13" t="s">
        <v>180</v>
      </c>
      <c r="F88" s="13" t="s">
        <v>12</v>
      </c>
      <c r="G88" s="21">
        <v>42825</v>
      </c>
      <c r="H88" s="14" t="s">
        <v>23</v>
      </c>
      <c r="I88" s="36"/>
      <c r="J88" s="15"/>
      <c r="K88" s="15"/>
      <c r="L88" s="15"/>
      <c r="M88" s="16"/>
      <c r="N88" s="1"/>
      <c r="O88" s="1"/>
      <c r="P88" s="1"/>
    </row>
    <row r="89" spans="1:16" x14ac:dyDescent="0.25">
      <c r="A89" s="13" t="s">
        <v>910</v>
      </c>
      <c r="B89" s="13" t="s">
        <v>911</v>
      </c>
      <c r="C89" s="14" t="s">
        <v>1522</v>
      </c>
      <c r="D89" s="14" t="s">
        <v>52</v>
      </c>
      <c r="E89" s="13" t="s">
        <v>180</v>
      </c>
      <c r="F89" s="13" t="s">
        <v>12</v>
      </c>
      <c r="G89" s="21">
        <v>43189</v>
      </c>
      <c r="H89" s="14" t="s">
        <v>23</v>
      </c>
      <c r="I89" s="36"/>
      <c r="J89" s="15"/>
      <c r="K89" s="15"/>
      <c r="L89" s="15"/>
      <c r="M89" s="16"/>
      <c r="N89" s="1"/>
      <c r="O89" s="1"/>
      <c r="P89" s="1"/>
    </row>
    <row r="90" spans="1:16" x14ac:dyDescent="0.25">
      <c r="A90" s="13" t="s">
        <v>50</v>
      </c>
      <c r="B90" s="13" t="s">
        <v>51</v>
      </c>
      <c r="C90" s="14" t="s">
        <v>1522</v>
      </c>
      <c r="D90" s="14" t="s">
        <v>52</v>
      </c>
      <c r="E90" s="13" t="s">
        <v>53</v>
      </c>
      <c r="F90" s="13" t="s">
        <v>55</v>
      </c>
      <c r="G90" s="21">
        <v>41428</v>
      </c>
      <c r="H90" s="14" t="s">
        <v>54</v>
      </c>
      <c r="I90" s="36"/>
      <c r="J90" s="15"/>
      <c r="K90" s="15"/>
      <c r="L90" s="15"/>
      <c r="M90" s="16"/>
      <c r="N90" s="1"/>
      <c r="O90" s="1"/>
      <c r="P90" s="1"/>
    </row>
    <row r="91" spans="1:16" x14ac:dyDescent="0.25">
      <c r="A91" s="13" t="s">
        <v>88</v>
      </c>
      <c r="B91" s="13" t="s">
        <v>89</v>
      </c>
      <c r="C91" s="14" t="s">
        <v>1522</v>
      </c>
      <c r="D91" s="14" t="s">
        <v>52</v>
      </c>
      <c r="E91" s="13" t="s">
        <v>53</v>
      </c>
      <c r="F91" s="13" t="s">
        <v>80</v>
      </c>
      <c r="G91" s="21">
        <v>41883</v>
      </c>
      <c r="H91" s="14" t="s">
        <v>54</v>
      </c>
      <c r="I91" s="36"/>
      <c r="J91" s="15"/>
      <c r="K91" s="15"/>
      <c r="L91" s="15"/>
      <c r="M91" s="16"/>
      <c r="N91" s="1"/>
      <c r="O91" s="1"/>
      <c r="P91" s="1"/>
    </row>
    <row r="92" spans="1:16" x14ac:dyDescent="0.25">
      <c r="A92" s="13" t="s">
        <v>788</v>
      </c>
      <c r="B92" s="13" t="s">
        <v>789</v>
      </c>
      <c r="C92" s="14" t="s">
        <v>1522</v>
      </c>
      <c r="D92" s="14" t="s">
        <v>52</v>
      </c>
      <c r="E92" s="13" t="s">
        <v>320</v>
      </c>
      <c r="F92" s="13" t="s">
        <v>93</v>
      </c>
      <c r="G92" s="21">
        <v>42975</v>
      </c>
      <c r="H92" s="14" t="s">
        <v>54</v>
      </c>
      <c r="I92" s="36"/>
      <c r="J92" s="15"/>
      <c r="K92" s="15"/>
      <c r="L92" s="15"/>
      <c r="M92" s="16"/>
      <c r="N92" s="1"/>
      <c r="O92" s="1"/>
      <c r="P92" s="1"/>
    </row>
    <row r="93" spans="1:16" x14ac:dyDescent="0.25">
      <c r="A93" s="13" t="s">
        <v>1044</v>
      </c>
      <c r="B93" s="13" t="s">
        <v>1045</v>
      </c>
      <c r="C93" s="14" t="s">
        <v>1522</v>
      </c>
      <c r="D93" s="14" t="s">
        <v>52</v>
      </c>
      <c r="E93" s="13" t="s">
        <v>1046</v>
      </c>
      <c r="F93" s="13" t="s">
        <v>12</v>
      </c>
      <c r="G93" s="21">
        <v>43262</v>
      </c>
      <c r="H93" s="14" t="s">
        <v>54</v>
      </c>
      <c r="I93" s="36"/>
      <c r="J93" s="15"/>
      <c r="K93" s="15"/>
      <c r="L93" s="15"/>
      <c r="M93" s="16"/>
      <c r="N93" s="1"/>
      <c r="O93" s="1"/>
      <c r="P93" s="1"/>
    </row>
    <row r="94" spans="1:16" x14ac:dyDescent="0.25">
      <c r="A94" s="13" t="s">
        <v>1535</v>
      </c>
      <c r="B94" s="13" t="s">
        <v>1536</v>
      </c>
      <c r="C94" s="14" t="s">
        <v>1522</v>
      </c>
      <c r="D94" s="14" t="s">
        <v>52</v>
      </c>
      <c r="E94" s="13" t="s">
        <v>320</v>
      </c>
      <c r="F94" s="13" t="s">
        <v>55</v>
      </c>
      <c r="G94" s="21">
        <v>43509</v>
      </c>
      <c r="H94" s="14" t="s">
        <v>89</v>
      </c>
      <c r="I94" s="36"/>
      <c r="J94" s="15"/>
      <c r="K94" s="15"/>
      <c r="L94" s="15"/>
      <c r="M94" s="16"/>
      <c r="N94" s="1"/>
      <c r="O94" s="1"/>
      <c r="P94" s="1"/>
    </row>
    <row r="95" spans="1:16" x14ac:dyDescent="0.25">
      <c r="A95" s="13" t="s">
        <v>176</v>
      </c>
      <c r="B95" s="13" t="s">
        <v>177</v>
      </c>
      <c r="C95" s="14" t="s">
        <v>1522</v>
      </c>
      <c r="D95" s="14" t="s">
        <v>52</v>
      </c>
      <c r="E95" s="13" t="s">
        <v>178</v>
      </c>
      <c r="F95" s="13" t="s">
        <v>60</v>
      </c>
      <c r="G95" s="21">
        <v>42229</v>
      </c>
      <c r="H95" s="14" t="s">
        <v>179</v>
      </c>
      <c r="I95" s="36"/>
      <c r="J95" s="15"/>
      <c r="K95" s="15"/>
      <c r="L95" s="15"/>
      <c r="M95" s="16"/>
      <c r="N95" s="1"/>
      <c r="O95" s="1"/>
      <c r="P95" s="1"/>
    </row>
    <row r="96" spans="1:16" x14ac:dyDescent="0.25">
      <c r="A96" s="13" t="s">
        <v>201</v>
      </c>
      <c r="B96" s="13" t="s">
        <v>202</v>
      </c>
      <c r="C96" s="14" t="s">
        <v>1522</v>
      </c>
      <c r="D96" s="14" t="s">
        <v>52</v>
      </c>
      <c r="E96" s="13" t="s">
        <v>203</v>
      </c>
      <c r="F96" s="13" t="s">
        <v>80</v>
      </c>
      <c r="G96" s="21">
        <v>42271</v>
      </c>
      <c r="H96" s="14" t="s">
        <v>177</v>
      </c>
      <c r="I96" s="36"/>
      <c r="J96" s="15"/>
      <c r="K96" s="15"/>
      <c r="L96" s="15"/>
      <c r="M96" s="16"/>
      <c r="N96" s="1"/>
      <c r="O96" s="1"/>
      <c r="P96" s="1"/>
    </row>
    <row r="97" spans="1:16" x14ac:dyDescent="0.25">
      <c r="A97" s="13" t="s">
        <v>858</v>
      </c>
      <c r="B97" s="13" t="s">
        <v>859</v>
      </c>
      <c r="C97" s="14" t="s">
        <v>1522</v>
      </c>
      <c r="D97" s="14" t="s">
        <v>52</v>
      </c>
      <c r="E97" s="13" t="s">
        <v>203</v>
      </c>
      <c r="F97" s="13" t="s">
        <v>1483</v>
      </c>
      <c r="G97" s="21">
        <v>43068</v>
      </c>
      <c r="H97" s="14" t="s">
        <v>177</v>
      </c>
      <c r="I97" s="36"/>
      <c r="J97" s="15"/>
      <c r="K97" s="15"/>
      <c r="L97" s="15"/>
      <c r="M97" s="16"/>
      <c r="N97" s="1"/>
      <c r="O97" s="1"/>
      <c r="P97" s="1"/>
    </row>
    <row r="98" spans="1:16" x14ac:dyDescent="0.25">
      <c r="A98" s="13" t="s">
        <v>1171</v>
      </c>
      <c r="B98" s="13" t="s">
        <v>1172</v>
      </c>
      <c r="C98" s="14" t="s">
        <v>1522</v>
      </c>
      <c r="D98" s="14" t="s">
        <v>52</v>
      </c>
      <c r="E98" s="13" t="s">
        <v>1173</v>
      </c>
      <c r="F98" s="13" t="s">
        <v>12</v>
      </c>
      <c r="G98" s="21">
        <v>43313</v>
      </c>
      <c r="H98" s="14" t="s">
        <v>177</v>
      </c>
      <c r="I98" s="36"/>
      <c r="J98" s="15"/>
      <c r="K98" s="15"/>
      <c r="L98" s="15"/>
      <c r="M98" s="16"/>
      <c r="N98" s="1"/>
      <c r="O98" s="1"/>
      <c r="P98" s="1"/>
    </row>
    <row r="99" spans="1:16" x14ac:dyDescent="0.25">
      <c r="A99" s="13" t="s">
        <v>1183</v>
      </c>
      <c r="B99" s="13" t="s">
        <v>1184</v>
      </c>
      <c r="C99" s="14" t="s">
        <v>1522</v>
      </c>
      <c r="D99" s="14" t="s">
        <v>52</v>
      </c>
      <c r="E99" s="13" t="s">
        <v>1185</v>
      </c>
      <c r="F99" s="13" t="s">
        <v>12</v>
      </c>
      <c r="G99" s="21">
        <v>43325</v>
      </c>
      <c r="H99" s="14" t="s">
        <v>177</v>
      </c>
      <c r="I99" s="36"/>
      <c r="J99" s="15"/>
      <c r="K99" s="15"/>
      <c r="L99" s="15"/>
      <c r="M99" s="16"/>
      <c r="N99" s="1"/>
      <c r="O99" s="1"/>
      <c r="P99" s="1"/>
    </row>
    <row r="100" spans="1:16" x14ac:dyDescent="0.25">
      <c r="A100" s="13" t="s">
        <v>1103</v>
      </c>
      <c r="B100" s="13" t="s">
        <v>1104</v>
      </c>
      <c r="C100" s="14" t="s">
        <v>1522</v>
      </c>
      <c r="D100" s="14" t="s">
        <v>52</v>
      </c>
      <c r="E100" s="13" t="s">
        <v>1105</v>
      </c>
      <c r="F100" s="13" t="s">
        <v>12</v>
      </c>
      <c r="G100" s="21">
        <v>43287</v>
      </c>
      <c r="H100" s="14" t="s">
        <v>54</v>
      </c>
      <c r="I100" s="36"/>
      <c r="J100" s="15"/>
      <c r="K100" s="15"/>
      <c r="L100" s="15"/>
      <c r="M100" s="16"/>
      <c r="N100" s="1"/>
      <c r="O100" s="1"/>
      <c r="P100" s="1"/>
    </row>
    <row r="101" spans="1:16" x14ac:dyDescent="0.25">
      <c r="A101" s="13" t="s">
        <v>298</v>
      </c>
      <c r="B101" s="13" t="s">
        <v>185</v>
      </c>
      <c r="C101" s="14" t="s">
        <v>1522</v>
      </c>
      <c r="D101" s="14" t="s">
        <v>1537</v>
      </c>
      <c r="E101" s="13" t="s">
        <v>299</v>
      </c>
      <c r="F101" s="13" t="s">
        <v>56</v>
      </c>
      <c r="G101" s="21">
        <v>42443</v>
      </c>
      <c r="H101" s="14" t="s">
        <v>71</v>
      </c>
      <c r="I101" s="36"/>
      <c r="J101" s="15"/>
      <c r="K101" s="15"/>
      <c r="L101" s="15"/>
      <c r="M101" s="16"/>
      <c r="N101" s="1"/>
      <c r="O101" s="1"/>
      <c r="P101" s="1"/>
    </row>
    <row r="102" spans="1:16" x14ac:dyDescent="0.25">
      <c r="A102" s="13" t="s">
        <v>807</v>
      </c>
      <c r="B102" s="13" t="s">
        <v>808</v>
      </c>
      <c r="C102" s="14" t="s">
        <v>1522</v>
      </c>
      <c r="D102" s="14" t="s">
        <v>1537</v>
      </c>
      <c r="E102" s="13" t="s">
        <v>809</v>
      </c>
      <c r="F102" s="13" t="s">
        <v>55</v>
      </c>
      <c r="G102" s="21">
        <v>43003</v>
      </c>
      <c r="H102" s="14" t="s">
        <v>185</v>
      </c>
      <c r="I102" s="36"/>
      <c r="J102" s="15"/>
      <c r="K102" s="15"/>
      <c r="L102" s="15"/>
      <c r="M102" s="16"/>
      <c r="N102" s="1"/>
      <c r="O102" s="1"/>
      <c r="P102" s="1"/>
    </row>
    <row r="103" spans="1:16" x14ac:dyDescent="0.25">
      <c r="A103" s="13" t="s">
        <v>190</v>
      </c>
      <c r="B103" s="13" t="s">
        <v>191</v>
      </c>
      <c r="C103" s="14" t="s">
        <v>1522</v>
      </c>
      <c r="D103" s="14" t="s">
        <v>1537</v>
      </c>
      <c r="E103" s="13" t="s">
        <v>49</v>
      </c>
      <c r="F103" s="13" t="s">
        <v>80</v>
      </c>
      <c r="G103" s="21">
        <v>42258</v>
      </c>
      <c r="H103" s="14" t="s">
        <v>185</v>
      </c>
      <c r="I103" s="36"/>
      <c r="J103" s="15"/>
      <c r="K103" s="15"/>
      <c r="L103" s="15"/>
      <c r="M103" s="16"/>
      <c r="N103" s="1"/>
      <c r="O103" s="1"/>
      <c r="P103" s="1"/>
    </row>
    <row r="104" spans="1:16" x14ac:dyDescent="0.25">
      <c r="A104" s="13" t="s">
        <v>397</v>
      </c>
      <c r="B104" s="13" t="s">
        <v>398</v>
      </c>
      <c r="C104" s="14" t="s">
        <v>1522</v>
      </c>
      <c r="D104" s="14" t="s">
        <v>1537</v>
      </c>
      <c r="E104" s="13" t="s">
        <v>399</v>
      </c>
      <c r="F104" s="13" t="s">
        <v>80</v>
      </c>
      <c r="G104" s="21">
        <v>42522</v>
      </c>
      <c r="H104" s="14" t="s">
        <v>185</v>
      </c>
      <c r="I104" s="36"/>
      <c r="J104" s="15"/>
      <c r="K104" s="15"/>
      <c r="L104" s="15"/>
      <c r="M104" s="16"/>
      <c r="N104" s="1"/>
      <c r="O104" s="1"/>
      <c r="P104" s="1"/>
    </row>
    <row r="105" spans="1:16" x14ac:dyDescent="0.25">
      <c r="A105" s="13" t="s">
        <v>436</v>
      </c>
      <c r="B105" s="13" t="s">
        <v>437</v>
      </c>
      <c r="C105" s="14" t="s">
        <v>1522</v>
      </c>
      <c r="D105" s="14" t="s">
        <v>1537</v>
      </c>
      <c r="E105" s="13" t="s">
        <v>244</v>
      </c>
      <c r="F105" s="13" t="s">
        <v>80</v>
      </c>
      <c r="G105" s="21">
        <v>42552</v>
      </c>
      <c r="H105" s="14" t="s">
        <v>185</v>
      </c>
      <c r="I105" s="36"/>
      <c r="J105" s="15"/>
      <c r="K105" s="15"/>
      <c r="L105" s="15"/>
      <c r="M105" s="16"/>
      <c r="N105" s="1"/>
      <c r="O105" s="1"/>
      <c r="P105" s="1"/>
    </row>
    <row r="106" spans="1:16" x14ac:dyDescent="0.25">
      <c r="A106" s="13" t="s">
        <v>932</v>
      </c>
      <c r="B106" s="13" t="s">
        <v>933</v>
      </c>
      <c r="C106" s="14" t="s">
        <v>1522</v>
      </c>
      <c r="D106" s="14" t="s">
        <v>1537</v>
      </c>
      <c r="E106" s="13" t="s">
        <v>934</v>
      </c>
      <c r="F106" s="13" t="s">
        <v>12</v>
      </c>
      <c r="G106" s="21">
        <v>43206</v>
      </c>
      <c r="H106" s="14" t="s">
        <v>185</v>
      </c>
      <c r="I106" s="36"/>
      <c r="J106" s="15"/>
      <c r="K106" s="15"/>
      <c r="L106" s="15"/>
      <c r="M106" s="16"/>
      <c r="N106" s="1"/>
      <c r="O106" s="1"/>
      <c r="P106" s="1"/>
    </row>
    <row r="107" spans="1:16" x14ac:dyDescent="0.25">
      <c r="A107" s="13" t="s">
        <v>183</v>
      </c>
      <c r="B107" s="13" t="s">
        <v>184</v>
      </c>
      <c r="C107" s="14" t="s">
        <v>1522</v>
      </c>
      <c r="D107" s="14" t="s">
        <v>1537</v>
      </c>
      <c r="E107" s="13" t="s">
        <v>108</v>
      </c>
      <c r="F107" s="13" t="s">
        <v>12</v>
      </c>
      <c r="G107" s="21">
        <v>42240</v>
      </c>
      <c r="H107" s="14" t="s">
        <v>185</v>
      </c>
      <c r="I107" s="36"/>
      <c r="J107" s="15"/>
      <c r="K107" s="15"/>
      <c r="L107" s="15"/>
      <c r="M107" s="16"/>
      <c r="N107" s="1"/>
      <c r="O107" s="1"/>
      <c r="P107" s="1"/>
    </row>
    <row r="108" spans="1:16" x14ac:dyDescent="0.25">
      <c r="A108" s="13" t="s">
        <v>352</v>
      </c>
      <c r="B108" s="13" t="s">
        <v>353</v>
      </c>
      <c r="C108" s="14" t="s">
        <v>1522</v>
      </c>
      <c r="D108" s="14" t="s">
        <v>1537</v>
      </c>
      <c r="E108" s="13" t="s">
        <v>108</v>
      </c>
      <c r="F108" s="13" t="s">
        <v>93</v>
      </c>
      <c r="G108" s="21">
        <v>42487</v>
      </c>
      <c r="H108" s="14" t="s">
        <v>185</v>
      </c>
      <c r="I108" s="36"/>
      <c r="J108" s="15"/>
      <c r="K108" s="15"/>
      <c r="L108" s="15"/>
      <c r="M108" s="16"/>
      <c r="N108" s="1"/>
      <c r="O108" s="1"/>
      <c r="P108" s="1"/>
    </row>
    <row r="109" spans="1:16" x14ac:dyDescent="0.25">
      <c r="A109" s="13" t="s">
        <v>513</v>
      </c>
      <c r="B109" s="13" t="s">
        <v>514</v>
      </c>
      <c r="C109" s="14" t="s">
        <v>1522</v>
      </c>
      <c r="D109" s="14" t="s">
        <v>1537</v>
      </c>
      <c r="E109" s="13" t="s">
        <v>108</v>
      </c>
      <c r="F109" s="13" t="s">
        <v>80</v>
      </c>
      <c r="G109" s="21">
        <v>42613</v>
      </c>
      <c r="H109" s="14" t="s">
        <v>185</v>
      </c>
      <c r="I109" s="36"/>
      <c r="J109" s="15"/>
      <c r="K109" s="15"/>
      <c r="L109" s="15"/>
      <c r="M109" s="16"/>
      <c r="N109" s="1"/>
      <c r="O109" s="1"/>
      <c r="P109" s="1"/>
    </row>
    <row r="110" spans="1:16" x14ac:dyDescent="0.25">
      <c r="A110" s="13" t="s">
        <v>538</v>
      </c>
      <c r="B110" s="13" t="s">
        <v>539</v>
      </c>
      <c r="C110" s="14" t="s">
        <v>1522</v>
      </c>
      <c r="D110" s="14" t="s">
        <v>1537</v>
      </c>
      <c r="E110" s="13" t="s">
        <v>108</v>
      </c>
      <c r="F110" s="13" t="s">
        <v>80</v>
      </c>
      <c r="G110" s="21">
        <v>42631</v>
      </c>
      <c r="H110" s="14" t="s">
        <v>185</v>
      </c>
      <c r="I110" s="36"/>
      <c r="J110" s="15"/>
      <c r="K110" s="15"/>
      <c r="L110" s="15"/>
      <c r="M110" s="16"/>
      <c r="N110" s="1"/>
      <c r="O110" s="1"/>
      <c r="P110" s="1"/>
    </row>
    <row r="111" spans="1:16" x14ac:dyDescent="0.25">
      <c r="A111" s="13" t="s">
        <v>400</v>
      </c>
      <c r="B111" s="13" t="s">
        <v>401</v>
      </c>
      <c r="C111" s="14" t="s">
        <v>1522</v>
      </c>
      <c r="D111" s="14" t="s">
        <v>1537</v>
      </c>
      <c r="E111" s="13" t="s">
        <v>311</v>
      </c>
      <c r="F111" s="13" t="s">
        <v>80</v>
      </c>
      <c r="G111" s="21">
        <v>42522</v>
      </c>
      <c r="H111" s="14" t="s">
        <v>185</v>
      </c>
      <c r="I111" s="36"/>
      <c r="J111" s="15"/>
      <c r="K111" s="15"/>
      <c r="L111" s="15"/>
      <c r="M111" s="16"/>
      <c r="N111" s="1"/>
      <c r="O111" s="1"/>
      <c r="P111" s="1"/>
    </row>
    <row r="112" spans="1:16" x14ac:dyDescent="0.25">
      <c r="A112" s="13" t="s">
        <v>417</v>
      </c>
      <c r="B112" s="13" t="s">
        <v>418</v>
      </c>
      <c r="C112" s="14" t="s">
        <v>1522</v>
      </c>
      <c r="D112" s="14" t="s">
        <v>1537</v>
      </c>
      <c r="E112" s="13" t="s">
        <v>33</v>
      </c>
      <c r="F112" s="13" t="s">
        <v>80</v>
      </c>
      <c r="G112" s="21">
        <v>42529</v>
      </c>
      <c r="H112" s="14" t="s">
        <v>401</v>
      </c>
      <c r="I112" s="36"/>
      <c r="J112" s="15"/>
      <c r="K112" s="15"/>
      <c r="L112" s="15"/>
      <c r="M112" s="16"/>
      <c r="N112" s="1"/>
      <c r="O112" s="1"/>
      <c r="P112" s="1"/>
    </row>
    <row r="113" spans="1:16" x14ac:dyDescent="0.25">
      <c r="A113" s="13" t="s">
        <v>557</v>
      </c>
      <c r="B113" s="13" t="s">
        <v>558</v>
      </c>
      <c r="C113" s="14" t="s">
        <v>1522</v>
      </c>
      <c r="D113" s="14" t="s">
        <v>1537</v>
      </c>
      <c r="E113" s="13" t="s">
        <v>33</v>
      </c>
      <c r="F113" s="13" t="s">
        <v>12</v>
      </c>
      <c r="G113" s="21">
        <v>42642</v>
      </c>
      <c r="H113" s="14" t="s">
        <v>401</v>
      </c>
      <c r="I113" s="36"/>
      <c r="J113" s="15"/>
      <c r="K113" s="15"/>
      <c r="L113" s="15"/>
      <c r="M113" s="16"/>
      <c r="N113" s="1"/>
      <c r="O113" s="1"/>
      <c r="P113" s="1"/>
    </row>
    <row r="114" spans="1:16" x14ac:dyDescent="0.25">
      <c r="A114" s="13" t="s">
        <v>1019</v>
      </c>
      <c r="B114" s="13" t="s">
        <v>1020</v>
      </c>
      <c r="C114" s="14" t="s">
        <v>1522</v>
      </c>
      <c r="D114" s="14" t="s">
        <v>1537</v>
      </c>
      <c r="E114" s="13" t="s">
        <v>33</v>
      </c>
      <c r="F114" s="13" t="s">
        <v>12</v>
      </c>
      <c r="G114" s="21">
        <v>43248</v>
      </c>
      <c r="H114" s="14" t="s">
        <v>401</v>
      </c>
      <c r="I114" s="36"/>
      <c r="J114" s="15"/>
      <c r="K114" s="15"/>
      <c r="L114" s="15"/>
      <c r="M114" s="16"/>
      <c r="N114" s="1"/>
      <c r="O114" s="1"/>
      <c r="P114" s="1"/>
    </row>
    <row r="115" spans="1:16" x14ac:dyDescent="0.25">
      <c r="A115" s="13" t="s">
        <v>1101</v>
      </c>
      <c r="B115" s="13" t="s">
        <v>1102</v>
      </c>
      <c r="C115" s="14" t="s">
        <v>1522</v>
      </c>
      <c r="D115" s="14" t="s">
        <v>1537</v>
      </c>
      <c r="E115" s="13" t="s">
        <v>33</v>
      </c>
      <c r="F115" s="13" t="s">
        <v>12</v>
      </c>
      <c r="G115" s="21">
        <v>43286</v>
      </c>
      <c r="H115" s="14" t="s">
        <v>401</v>
      </c>
      <c r="I115" s="36"/>
      <c r="J115" s="15"/>
      <c r="K115" s="15"/>
      <c r="L115" s="15"/>
      <c r="M115" s="16"/>
      <c r="N115" s="1"/>
      <c r="O115" s="1"/>
      <c r="P115" s="1"/>
    </row>
    <row r="116" spans="1:16" x14ac:dyDescent="0.25">
      <c r="A116" s="13" t="s">
        <v>262</v>
      </c>
      <c r="B116" s="13" t="s">
        <v>263</v>
      </c>
      <c r="C116" s="14" t="s">
        <v>1522</v>
      </c>
      <c r="D116" s="14"/>
      <c r="E116" s="13" t="s">
        <v>211</v>
      </c>
      <c r="F116" s="13" t="s">
        <v>80</v>
      </c>
      <c r="G116" s="21">
        <v>42374</v>
      </c>
      <c r="H116" s="14" t="s">
        <v>210</v>
      </c>
      <c r="I116" s="36"/>
      <c r="J116" s="15"/>
      <c r="K116" s="15"/>
      <c r="L116" s="15"/>
      <c r="M116" s="16"/>
      <c r="N116" s="1"/>
      <c r="O116" s="1"/>
      <c r="P116" s="1"/>
    </row>
    <row r="117" spans="1:16" x14ac:dyDescent="0.25">
      <c r="A117" s="13" t="s">
        <v>544</v>
      </c>
      <c r="B117" s="13" t="s">
        <v>545</v>
      </c>
      <c r="C117" s="14" t="s">
        <v>1522</v>
      </c>
      <c r="D117" s="14"/>
      <c r="E117" s="13" t="s">
        <v>211</v>
      </c>
      <c r="F117" s="13" t="s">
        <v>12</v>
      </c>
      <c r="G117" s="21">
        <v>42632</v>
      </c>
      <c r="H117" s="14" t="s">
        <v>210</v>
      </c>
      <c r="I117" s="36"/>
      <c r="J117" s="15"/>
      <c r="K117" s="15"/>
      <c r="L117" s="15"/>
      <c r="M117" s="16"/>
      <c r="N117" s="1"/>
      <c r="O117" s="1"/>
      <c r="P117" s="1"/>
    </row>
    <row r="118" spans="1:16" x14ac:dyDescent="0.25">
      <c r="A118" s="13" t="s">
        <v>98</v>
      </c>
      <c r="B118" s="13" t="s">
        <v>99</v>
      </c>
      <c r="C118" s="14" t="s">
        <v>1522</v>
      </c>
      <c r="D118" s="14" t="s">
        <v>52</v>
      </c>
      <c r="E118" s="13" t="s">
        <v>100</v>
      </c>
      <c r="F118" s="13" t="s">
        <v>56</v>
      </c>
      <c r="G118" s="21">
        <v>41944</v>
      </c>
      <c r="H118" s="14" t="s">
        <v>54</v>
      </c>
      <c r="I118" s="36"/>
      <c r="J118" s="15"/>
      <c r="K118" s="15"/>
      <c r="L118" s="15"/>
      <c r="M118" s="16"/>
      <c r="N118" s="1"/>
      <c r="O118" s="1"/>
      <c r="P118" s="1"/>
    </row>
    <row r="119" spans="1:16" x14ac:dyDescent="0.25">
      <c r="A119" s="13" t="s">
        <v>555</v>
      </c>
      <c r="B119" s="13" t="s">
        <v>556</v>
      </c>
      <c r="C119" s="14" t="s">
        <v>1522</v>
      </c>
      <c r="D119" s="14" t="s">
        <v>1534</v>
      </c>
      <c r="E119" s="13" t="s">
        <v>243</v>
      </c>
      <c r="F119" s="13" t="s">
        <v>12</v>
      </c>
      <c r="G119" s="21">
        <v>42640</v>
      </c>
      <c r="H119" s="14" t="s">
        <v>87</v>
      </c>
      <c r="I119" s="36"/>
      <c r="J119" s="15"/>
      <c r="K119" s="15"/>
      <c r="L119" s="15"/>
      <c r="M119" s="16"/>
      <c r="N119" s="1"/>
      <c r="O119" s="1"/>
      <c r="P119" s="1"/>
    </row>
    <row r="120" spans="1:16" x14ac:dyDescent="0.25">
      <c r="A120" s="13" t="s">
        <v>635</v>
      </c>
      <c r="B120" s="13" t="s">
        <v>636</v>
      </c>
      <c r="C120" s="14" t="s">
        <v>1522</v>
      </c>
      <c r="D120" s="14" t="s">
        <v>173</v>
      </c>
      <c r="E120" s="13" t="s">
        <v>369</v>
      </c>
      <c r="F120" s="13" t="s">
        <v>12</v>
      </c>
      <c r="G120" s="21">
        <v>42716</v>
      </c>
      <c r="H120" s="14" t="s">
        <v>175</v>
      </c>
      <c r="I120" s="36"/>
      <c r="J120" s="15"/>
      <c r="K120" s="15"/>
      <c r="L120" s="15"/>
      <c r="M120" s="16"/>
      <c r="N120" s="1"/>
      <c r="O120" s="1"/>
      <c r="P120" s="1"/>
    </row>
    <row r="121" spans="1:16" x14ac:dyDescent="0.25">
      <c r="A121" s="13" t="s">
        <v>1005</v>
      </c>
      <c r="B121" s="13" t="s">
        <v>1006</v>
      </c>
      <c r="C121" s="14" t="s">
        <v>1522</v>
      </c>
      <c r="D121" s="14" t="s">
        <v>173</v>
      </c>
      <c r="E121" s="13" t="s">
        <v>320</v>
      </c>
      <c r="F121" s="13" t="s">
        <v>12</v>
      </c>
      <c r="G121" s="21">
        <v>43241</v>
      </c>
      <c r="H121" s="14" t="s">
        <v>175</v>
      </c>
      <c r="I121" s="36"/>
      <c r="J121" s="15"/>
      <c r="K121" s="15"/>
      <c r="L121" s="15"/>
      <c r="M121" s="16"/>
      <c r="N121" s="1"/>
      <c r="O121" s="1"/>
      <c r="P121" s="1"/>
    </row>
    <row r="122" spans="1:16" x14ac:dyDescent="0.25">
      <c r="A122" s="13" t="s">
        <v>1009</v>
      </c>
      <c r="B122" s="13" t="s">
        <v>1010</v>
      </c>
      <c r="C122" s="14" t="s">
        <v>1522</v>
      </c>
      <c r="D122" s="14" t="s">
        <v>52</v>
      </c>
      <c r="E122" s="13" t="s">
        <v>203</v>
      </c>
      <c r="F122" s="13" t="s">
        <v>12</v>
      </c>
      <c r="G122" s="21">
        <v>43243</v>
      </c>
      <c r="H122" s="14" t="s">
        <v>177</v>
      </c>
      <c r="I122" s="36"/>
      <c r="J122" s="15"/>
      <c r="K122" s="15"/>
      <c r="L122" s="15"/>
      <c r="M122" s="16"/>
      <c r="N122" s="1"/>
      <c r="O122" s="1"/>
      <c r="P122" s="1"/>
    </row>
    <row r="123" spans="1:16" x14ac:dyDescent="0.25">
      <c r="A123" s="13" t="s">
        <v>1203</v>
      </c>
      <c r="B123" s="13" t="s">
        <v>1204</v>
      </c>
      <c r="C123" s="14" t="s">
        <v>1522</v>
      </c>
      <c r="D123" s="14" t="s">
        <v>570</v>
      </c>
      <c r="E123" s="13" t="s">
        <v>616</v>
      </c>
      <c r="F123" s="13" t="s">
        <v>157</v>
      </c>
      <c r="G123" s="21">
        <v>43362</v>
      </c>
      <c r="H123" s="14" t="s">
        <v>949</v>
      </c>
      <c r="I123" s="36"/>
      <c r="J123" s="15"/>
      <c r="K123" s="15"/>
      <c r="L123" s="15"/>
      <c r="M123" s="16"/>
      <c r="N123" s="1"/>
      <c r="O123" s="1"/>
      <c r="P123" s="1"/>
    </row>
    <row r="124" spans="1:16" x14ac:dyDescent="0.25">
      <c r="A124" s="13" t="s">
        <v>1289</v>
      </c>
      <c r="B124" s="13" t="s">
        <v>1290</v>
      </c>
      <c r="C124" s="14" t="s">
        <v>1522</v>
      </c>
      <c r="D124" s="14" t="s">
        <v>570</v>
      </c>
      <c r="E124" s="13" t="s">
        <v>1291</v>
      </c>
      <c r="F124" s="13" t="s">
        <v>38</v>
      </c>
      <c r="G124" s="21">
        <v>43404</v>
      </c>
      <c r="H124" s="14" t="s">
        <v>569</v>
      </c>
      <c r="I124" s="36"/>
      <c r="J124" s="15"/>
      <c r="K124" s="15"/>
      <c r="L124" s="15"/>
      <c r="M124" s="16"/>
      <c r="N124" s="1"/>
      <c r="O124" s="1"/>
      <c r="P124" s="1"/>
    </row>
    <row r="125" spans="1:16" x14ac:dyDescent="0.25">
      <c r="A125" s="13" t="s">
        <v>1364</v>
      </c>
      <c r="B125" s="13" t="s">
        <v>1365</v>
      </c>
      <c r="C125" s="14" t="s">
        <v>1522</v>
      </c>
      <c r="D125" s="14" t="s">
        <v>570</v>
      </c>
      <c r="E125" s="13" t="s">
        <v>1291</v>
      </c>
      <c r="F125" s="13" t="s">
        <v>157</v>
      </c>
      <c r="G125" s="21">
        <v>43447</v>
      </c>
      <c r="H125" s="14" t="s">
        <v>569</v>
      </c>
      <c r="I125" s="36"/>
      <c r="J125" s="15"/>
      <c r="K125" s="15"/>
      <c r="L125" s="15"/>
      <c r="M125" s="16"/>
      <c r="N125" s="1"/>
      <c r="O125" s="1"/>
      <c r="P125" s="1"/>
    </row>
    <row r="126" spans="1:16" x14ac:dyDescent="0.25">
      <c r="A126" s="13" t="s">
        <v>1538</v>
      </c>
      <c r="B126" s="13" t="s">
        <v>1539</v>
      </c>
      <c r="C126" s="14" t="s">
        <v>1522</v>
      </c>
      <c r="D126" s="14" t="s">
        <v>570</v>
      </c>
      <c r="E126" s="13" t="s">
        <v>1540</v>
      </c>
      <c r="F126" s="13" t="s">
        <v>157</v>
      </c>
      <c r="G126" s="21">
        <v>43530</v>
      </c>
      <c r="H126" s="14" t="s">
        <v>949</v>
      </c>
      <c r="I126" s="36"/>
      <c r="J126" s="15"/>
      <c r="K126" s="15"/>
      <c r="L126" s="15"/>
      <c r="M126" s="16"/>
      <c r="N126" s="1"/>
      <c r="O126" s="1"/>
      <c r="P126" s="1"/>
    </row>
    <row r="127" spans="1:16" x14ac:dyDescent="0.25">
      <c r="A127" s="13" t="s">
        <v>1541</v>
      </c>
      <c r="B127" s="13" t="s">
        <v>1542</v>
      </c>
      <c r="C127" s="14" t="s">
        <v>1522</v>
      </c>
      <c r="D127" s="14" t="s">
        <v>570</v>
      </c>
      <c r="E127" s="13" t="s">
        <v>1291</v>
      </c>
      <c r="F127" s="13" t="s">
        <v>1512</v>
      </c>
      <c r="G127" s="21">
        <v>43536</v>
      </c>
      <c r="H127" s="14" t="s">
        <v>949</v>
      </c>
      <c r="I127" s="36"/>
      <c r="J127" s="15"/>
      <c r="K127" s="15"/>
      <c r="L127" s="15"/>
      <c r="M127" s="16"/>
      <c r="N127" s="1"/>
      <c r="O127" s="1"/>
      <c r="P127" s="1"/>
    </row>
    <row r="128" spans="1:16" x14ac:dyDescent="0.25">
      <c r="A128" s="13" t="s">
        <v>1543</v>
      </c>
      <c r="B128" s="13" t="s">
        <v>1544</v>
      </c>
      <c r="C128" s="14" t="s">
        <v>1522</v>
      </c>
      <c r="D128" s="14" t="s">
        <v>570</v>
      </c>
      <c r="E128" s="13" t="s">
        <v>1291</v>
      </c>
      <c r="F128" s="13" t="s">
        <v>1512</v>
      </c>
      <c r="G128" s="21">
        <v>43536</v>
      </c>
      <c r="H128" s="14" t="s">
        <v>949</v>
      </c>
      <c r="I128" s="36"/>
      <c r="J128" s="15"/>
      <c r="K128" s="15"/>
      <c r="L128" s="15"/>
      <c r="M128" s="16"/>
      <c r="N128" s="1"/>
      <c r="O128" s="1"/>
      <c r="P128" s="1"/>
    </row>
    <row r="129" spans="1:16" x14ac:dyDescent="0.25">
      <c r="A129" s="13" t="s">
        <v>1545</v>
      </c>
      <c r="B129" s="13" t="s">
        <v>1546</v>
      </c>
      <c r="C129" s="14" t="s">
        <v>1522</v>
      </c>
      <c r="D129" s="14" t="s">
        <v>570</v>
      </c>
      <c r="E129" s="13" t="s">
        <v>1540</v>
      </c>
      <c r="F129" s="13" t="s">
        <v>157</v>
      </c>
      <c r="G129" s="21">
        <v>43544</v>
      </c>
      <c r="H129" s="14" t="s">
        <v>949</v>
      </c>
      <c r="I129" s="36"/>
      <c r="J129" s="15"/>
      <c r="K129" s="15"/>
      <c r="L129" s="15"/>
      <c r="M129" s="16"/>
      <c r="N129" s="1"/>
      <c r="O129" s="1"/>
      <c r="P129" s="1"/>
    </row>
    <row r="130" spans="1:16" x14ac:dyDescent="0.25">
      <c r="A130" s="13" t="s">
        <v>1547</v>
      </c>
      <c r="B130" s="13" t="s">
        <v>1548</v>
      </c>
      <c r="C130" s="14" t="s">
        <v>1522</v>
      </c>
      <c r="D130" s="14" t="s">
        <v>570</v>
      </c>
      <c r="E130" s="13" t="s">
        <v>1291</v>
      </c>
      <c r="F130" s="13" t="s">
        <v>1512</v>
      </c>
      <c r="G130" s="21">
        <v>43546</v>
      </c>
      <c r="H130" s="14" t="s">
        <v>569</v>
      </c>
      <c r="I130" s="36"/>
      <c r="J130" s="15"/>
      <c r="K130" s="15"/>
      <c r="L130" s="15"/>
      <c r="M130" s="16"/>
      <c r="N130" s="1"/>
      <c r="O130" s="1"/>
      <c r="P130" s="1"/>
    </row>
  </sheetData>
  <autoFilter ref="A9:W130"/>
  <mergeCells count="1">
    <mergeCell ref="A1:P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3"/>
  <sheetViews>
    <sheetView zoomScale="60" zoomScaleNormal="60" workbookViewId="0">
      <pane xSplit="2" ySplit="9" topLeftCell="C78" activePane="bottomRight" state="frozen"/>
      <selection pane="topRight" activeCell="C1" sqref="C1"/>
      <selection pane="bottomLeft" activeCell="A9" sqref="A9"/>
      <selection pane="bottomRight" activeCell="A86" sqref="A86:XFD86"/>
    </sheetView>
  </sheetViews>
  <sheetFormatPr defaultColWidth="11" defaultRowHeight="15.75" x14ac:dyDescent="0.25"/>
  <cols>
    <col min="1" max="6" width="19.5" style="1" customWidth="1"/>
    <col min="7" max="7" width="13.375" style="1" customWidth="1"/>
    <col min="8" max="8" width="14.125" style="32" customWidth="1"/>
    <col min="9" max="9" width="15.125" style="1" customWidth="1"/>
    <col min="10" max="11" width="17.125" style="1" customWidth="1"/>
    <col min="12" max="12" width="18.875" style="40" customWidth="1"/>
    <col min="13" max="13" width="23.375" style="9" customWidth="1"/>
    <col min="14" max="14" width="33.125" style="9" customWidth="1"/>
    <col min="15" max="15" width="22.375" style="9" customWidth="1"/>
    <col min="16" max="16" width="38.5" style="9" customWidth="1"/>
    <col min="17" max="18" width="11" style="1" customWidth="1"/>
    <col min="19" max="16384" width="11" style="1"/>
  </cols>
  <sheetData>
    <row r="1" spans="1:23" ht="54.75" customHeight="1" x14ac:dyDescent="0.4">
      <c r="A1" s="42" t="s">
        <v>1449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23" ht="27.75" hidden="1" x14ac:dyDescent="0.4">
      <c r="A2" s="4" t="s">
        <v>1395</v>
      </c>
      <c r="B2" s="33" t="s">
        <v>1434</v>
      </c>
      <c r="C2" s="2"/>
      <c r="D2" s="2"/>
      <c r="E2" s="2"/>
      <c r="F2" s="2"/>
      <c r="G2" s="2"/>
      <c r="H2" s="31"/>
      <c r="I2" s="2"/>
      <c r="J2" s="2"/>
      <c r="K2" s="30"/>
      <c r="L2" s="39"/>
      <c r="M2" s="3"/>
      <c r="N2" s="3"/>
      <c r="O2" s="3"/>
      <c r="P2" s="3"/>
    </row>
    <row r="3" spans="1:23" ht="27.75" x14ac:dyDescent="0.4">
      <c r="A3" s="4" t="s">
        <v>1381</v>
      </c>
      <c r="B3" s="5"/>
      <c r="C3" s="5"/>
      <c r="D3" s="5"/>
      <c r="E3" s="5"/>
      <c r="F3" s="5"/>
      <c r="G3" s="2"/>
      <c r="H3" s="31"/>
      <c r="I3" s="2"/>
      <c r="J3" s="2"/>
      <c r="K3" s="30"/>
      <c r="L3" s="39"/>
      <c r="M3" s="3"/>
      <c r="N3" s="3"/>
      <c r="O3" s="3"/>
      <c r="P3" s="3"/>
    </row>
    <row r="4" spans="1:23" ht="27.75" x14ac:dyDescent="0.4">
      <c r="A4" s="6" t="s">
        <v>1406</v>
      </c>
      <c r="B4" s="6" t="s">
        <v>1400</v>
      </c>
      <c r="C4" s="6" t="s">
        <v>1396</v>
      </c>
      <c r="D4" s="6" t="s">
        <v>1397</v>
      </c>
      <c r="E4" s="6" t="s">
        <v>1402</v>
      </c>
      <c r="F4" s="6" t="s">
        <v>1403</v>
      </c>
      <c r="G4" s="2"/>
      <c r="H4" s="31"/>
      <c r="I4" s="2"/>
      <c r="J4" s="2"/>
      <c r="K4" s="30"/>
      <c r="L4" s="39"/>
      <c r="M4" s="3"/>
      <c r="N4" s="3"/>
      <c r="O4" s="3"/>
      <c r="P4" s="3"/>
      <c r="S4" s="26"/>
      <c r="T4" s="26"/>
      <c r="U4" s="26"/>
      <c r="V4" s="26"/>
      <c r="W4" s="26"/>
    </row>
    <row r="5" spans="1:23" ht="27.75" x14ac:dyDescent="0.4">
      <c r="A5" s="6" t="s">
        <v>1407</v>
      </c>
      <c r="B5" s="27">
        <f>VLOOKUP(B2,等级分布!A:F,2,0)</f>
        <v>0.1</v>
      </c>
      <c r="C5" s="27">
        <f>VLOOKUP(B2,等级分布!A:F,3,0)</f>
        <v>0.2</v>
      </c>
      <c r="D5" s="27">
        <f>VLOOKUP(B2,等级分布!A:F,4,0)</f>
        <v>0.3</v>
      </c>
      <c r="E5" s="27">
        <f>VLOOKUP(B2,等级分布!A:F,5,0)</f>
        <v>0.2</v>
      </c>
      <c r="F5" s="27">
        <f>VLOOKUP(B2,等级分布!A:F,6,0)</f>
        <v>0.2</v>
      </c>
      <c r="G5" s="2"/>
      <c r="H5" s="31"/>
      <c r="I5" s="2"/>
      <c r="J5" s="2"/>
      <c r="K5" s="30"/>
      <c r="L5" s="39"/>
      <c r="M5" s="3"/>
      <c r="N5" s="3"/>
      <c r="O5" s="3"/>
      <c r="P5" s="3"/>
      <c r="S5" s="26"/>
      <c r="T5" s="26"/>
      <c r="U5" s="26"/>
      <c r="V5" s="26"/>
      <c r="W5" s="26"/>
    </row>
    <row r="6" spans="1:23" ht="27.75" x14ac:dyDescent="0.4">
      <c r="A6" s="6" t="s">
        <v>1382</v>
      </c>
      <c r="B6" s="7"/>
      <c r="C6" s="7"/>
      <c r="D6" s="7"/>
      <c r="E6" s="7"/>
      <c r="F6" s="7"/>
      <c r="G6" s="2"/>
      <c r="H6" s="31"/>
      <c r="I6" s="2"/>
      <c r="J6" s="2"/>
      <c r="K6" s="30"/>
      <c r="L6" s="39"/>
      <c r="M6" s="3"/>
      <c r="N6" s="3"/>
      <c r="O6" s="3"/>
      <c r="P6" s="3"/>
    </row>
    <row r="7" spans="1:23" ht="18" hidden="1" x14ac:dyDescent="0.25">
      <c r="A7" s="6" t="s">
        <v>1383</v>
      </c>
      <c r="B7" s="8" t="str">
        <f>IF(B6&lt;=B5,"是","否")</f>
        <v>是</v>
      </c>
      <c r="C7" s="8" t="str">
        <f>IF(C6&lt;=C5,"是","否")</f>
        <v>是</v>
      </c>
      <c r="D7" s="8" t="str">
        <f>IF(D6&lt;=D5,"是","否")</f>
        <v>是</v>
      </c>
      <c r="E7" s="8" t="str">
        <f>IF(E6&lt;=E5,"是","否")</f>
        <v>是</v>
      </c>
      <c r="F7" s="8" t="str">
        <f>IF(F6&lt;=F5,"是","否")</f>
        <v>是</v>
      </c>
    </row>
    <row r="8" spans="1:23" ht="18" x14ac:dyDescent="0.25">
      <c r="A8" s="10" t="s">
        <v>1442</v>
      </c>
    </row>
    <row r="9" spans="1:23" ht="75" x14ac:dyDescent="0.25">
      <c r="A9" s="11" t="s">
        <v>0</v>
      </c>
      <c r="B9" s="11" t="s">
        <v>1</v>
      </c>
      <c r="C9" s="11" t="s">
        <v>1384</v>
      </c>
      <c r="D9" s="11" t="s">
        <v>1385</v>
      </c>
      <c r="E9" s="11" t="s">
        <v>1386</v>
      </c>
      <c r="F9" s="11" t="s">
        <v>1387</v>
      </c>
      <c r="G9" s="28" t="s">
        <v>1388</v>
      </c>
      <c r="H9" s="11" t="s">
        <v>1389</v>
      </c>
      <c r="I9" s="35" t="s">
        <v>1390</v>
      </c>
      <c r="J9" s="12" t="s">
        <v>1391</v>
      </c>
      <c r="K9" s="12" t="s">
        <v>1392</v>
      </c>
      <c r="L9" s="12" t="s">
        <v>1393</v>
      </c>
      <c r="M9" s="11" t="s">
        <v>1394</v>
      </c>
      <c r="N9" s="1" t="s">
        <v>1439</v>
      </c>
      <c r="O9" s="1"/>
      <c r="P9" s="1"/>
    </row>
    <row r="10" spans="1:23" x14ac:dyDescent="0.25">
      <c r="A10" s="13" t="s">
        <v>77</v>
      </c>
      <c r="B10" s="13" t="s">
        <v>78</v>
      </c>
      <c r="C10" s="14" t="s">
        <v>1549</v>
      </c>
      <c r="D10" s="14" t="s">
        <v>1550</v>
      </c>
      <c r="E10" s="13" t="s">
        <v>79</v>
      </c>
      <c r="F10" s="13" t="s">
        <v>43</v>
      </c>
      <c r="G10" s="21">
        <v>41778</v>
      </c>
      <c r="H10" s="14" t="s">
        <v>69</v>
      </c>
      <c r="I10" s="36"/>
      <c r="J10" s="15"/>
      <c r="K10" s="15"/>
      <c r="L10" s="15"/>
      <c r="M10" s="16"/>
      <c r="N10" s="1"/>
      <c r="O10" s="1"/>
      <c r="P10" s="1"/>
    </row>
    <row r="11" spans="1:23" x14ac:dyDescent="0.25">
      <c r="A11" s="13" t="s">
        <v>617</v>
      </c>
      <c r="B11" s="13" t="s">
        <v>618</v>
      </c>
      <c r="C11" s="14" t="s">
        <v>1549</v>
      </c>
      <c r="D11" s="14" t="s">
        <v>72</v>
      </c>
      <c r="E11" s="13" t="s">
        <v>108</v>
      </c>
      <c r="F11" s="13" t="s">
        <v>56</v>
      </c>
      <c r="G11" s="21">
        <v>42702</v>
      </c>
      <c r="H11" s="14" t="s">
        <v>74</v>
      </c>
      <c r="I11" s="36"/>
      <c r="J11" s="15"/>
      <c r="K11" s="15"/>
      <c r="L11" s="15"/>
      <c r="M11" s="16"/>
      <c r="N11" s="1"/>
      <c r="O11" s="1"/>
      <c r="P11" s="1"/>
    </row>
    <row r="12" spans="1:23" x14ac:dyDescent="0.25">
      <c r="A12" s="13" t="s">
        <v>1331</v>
      </c>
      <c r="B12" s="13" t="s">
        <v>1332</v>
      </c>
      <c r="C12" s="14" t="s">
        <v>1549</v>
      </c>
      <c r="D12" s="14" t="s">
        <v>72</v>
      </c>
      <c r="E12" s="13" t="s">
        <v>108</v>
      </c>
      <c r="F12" s="13" t="s">
        <v>55</v>
      </c>
      <c r="G12" s="21">
        <v>43160</v>
      </c>
      <c r="H12" s="14" t="s">
        <v>74</v>
      </c>
      <c r="I12" s="36"/>
      <c r="J12" s="15"/>
      <c r="K12" s="15"/>
      <c r="L12" s="15"/>
      <c r="M12" s="16"/>
      <c r="N12" s="1"/>
      <c r="O12" s="1"/>
      <c r="P12" s="1"/>
    </row>
    <row r="13" spans="1:23" x14ac:dyDescent="0.25">
      <c r="A13" s="13" t="s">
        <v>1337</v>
      </c>
      <c r="B13" s="13" t="s">
        <v>1338</v>
      </c>
      <c r="C13" s="14" t="s">
        <v>1549</v>
      </c>
      <c r="D13" s="14" t="s">
        <v>72</v>
      </c>
      <c r="E13" s="13" t="s">
        <v>1339</v>
      </c>
      <c r="F13" s="13" t="s">
        <v>55</v>
      </c>
      <c r="G13" s="21">
        <v>43213</v>
      </c>
      <c r="H13" s="14" t="s">
        <v>74</v>
      </c>
      <c r="I13" s="36"/>
      <c r="J13" s="15"/>
      <c r="K13" s="15"/>
      <c r="L13" s="15"/>
      <c r="M13" s="16"/>
      <c r="N13" s="1"/>
      <c r="O13" s="1"/>
      <c r="P13" s="1"/>
    </row>
    <row r="14" spans="1:23" x14ac:dyDescent="0.25">
      <c r="A14" s="13" t="s">
        <v>275</v>
      </c>
      <c r="B14" s="13" t="s">
        <v>276</v>
      </c>
      <c r="C14" s="14" t="s">
        <v>1549</v>
      </c>
      <c r="D14" s="14" t="s">
        <v>72</v>
      </c>
      <c r="E14" s="13" t="s">
        <v>108</v>
      </c>
      <c r="F14" s="13" t="s">
        <v>12</v>
      </c>
      <c r="G14" s="21">
        <v>42401</v>
      </c>
      <c r="H14" s="14" t="s">
        <v>74</v>
      </c>
      <c r="I14" s="36"/>
      <c r="J14" s="15"/>
      <c r="K14" s="15"/>
      <c r="L14" s="15"/>
      <c r="M14" s="16"/>
      <c r="N14" s="1"/>
      <c r="O14" s="1"/>
      <c r="P14" s="1"/>
    </row>
    <row r="15" spans="1:23" x14ac:dyDescent="0.25">
      <c r="A15" s="13" t="s">
        <v>344</v>
      </c>
      <c r="B15" s="13" t="s">
        <v>345</v>
      </c>
      <c r="C15" s="14" t="s">
        <v>1549</v>
      </c>
      <c r="D15" s="14" t="s">
        <v>72</v>
      </c>
      <c r="E15" s="13" t="s">
        <v>108</v>
      </c>
      <c r="F15" s="13" t="s">
        <v>93</v>
      </c>
      <c r="G15" s="21">
        <v>42485</v>
      </c>
      <c r="H15" s="14" t="s">
        <v>74</v>
      </c>
      <c r="I15" s="36"/>
      <c r="J15" s="15"/>
      <c r="K15" s="15"/>
      <c r="L15" s="15"/>
      <c r="M15" s="16"/>
      <c r="N15" s="1"/>
      <c r="O15" s="1"/>
      <c r="P15" s="1"/>
    </row>
    <row r="16" spans="1:23" x14ac:dyDescent="0.25">
      <c r="A16" s="13" t="s">
        <v>415</v>
      </c>
      <c r="B16" s="13" t="s">
        <v>416</v>
      </c>
      <c r="C16" s="14" t="s">
        <v>1549</v>
      </c>
      <c r="D16" s="14" t="s">
        <v>72</v>
      </c>
      <c r="E16" s="13" t="s">
        <v>1551</v>
      </c>
      <c r="F16" s="13" t="s">
        <v>80</v>
      </c>
      <c r="G16" s="21">
        <v>42529</v>
      </c>
      <c r="H16" s="14" t="s">
        <v>74</v>
      </c>
      <c r="I16" s="36"/>
      <c r="J16" s="15"/>
      <c r="K16" s="15"/>
      <c r="L16" s="15"/>
      <c r="M16" s="16"/>
      <c r="N16" s="1"/>
      <c r="O16" s="1"/>
      <c r="P16" s="1"/>
    </row>
    <row r="17" spans="1:16" x14ac:dyDescent="0.25">
      <c r="A17" s="13" t="s">
        <v>633</v>
      </c>
      <c r="B17" s="13" t="s">
        <v>634</v>
      </c>
      <c r="C17" s="14" t="s">
        <v>1549</v>
      </c>
      <c r="D17" s="14" t="s">
        <v>72</v>
      </c>
      <c r="E17" s="13" t="s">
        <v>108</v>
      </c>
      <c r="F17" s="13" t="s">
        <v>12</v>
      </c>
      <c r="G17" s="21">
        <v>42716</v>
      </c>
      <c r="H17" s="14" t="s">
        <v>74</v>
      </c>
      <c r="I17" s="36"/>
      <c r="J17" s="15"/>
      <c r="K17" s="15"/>
      <c r="L17" s="15"/>
      <c r="M17" s="16"/>
      <c r="N17" s="1"/>
      <c r="O17" s="1"/>
      <c r="P17" s="1"/>
    </row>
    <row r="18" spans="1:16" x14ac:dyDescent="0.25">
      <c r="A18" s="13" t="s">
        <v>1313</v>
      </c>
      <c r="B18" s="13" t="s">
        <v>1552</v>
      </c>
      <c r="C18" s="14" t="s">
        <v>1549</v>
      </c>
      <c r="D18" s="14" t="s">
        <v>72</v>
      </c>
      <c r="E18" s="13" t="s">
        <v>108</v>
      </c>
      <c r="F18" s="13" t="s">
        <v>12</v>
      </c>
      <c r="G18" s="21">
        <v>43420</v>
      </c>
      <c r="H18" s="14" t="s">
        <v>74</v>
      </c>
      <c r="I18" s="36"/>
      <c r="J18" s="15"/>
      <c r="K18" s="15"/>
      <c r="L18" s="15"/>
      <c r="M18" s="16"/>
      <c r="N18" s="1"/>
      <c r="O18" s="1"/>
      <c r="P18" s="1"/>
    </row>
    <row r="19" spans="1:16" x14ac:dyDescent="0.25">
      <c r="A19" s="13" t="s">
        <v>342</v>
      </c>
      <c r="B19" s="13" t="s">
        <v>343</v>
      </c>
      <c r="C19" s="14" t="s">
        <v>1549</v>
      </c>
      <c r="D19" s="14" t="s">
        <v>72</v>
      </c>
      <c r="E19" s="13" t="s">
        <v>108</v>
      </c>
      <c r="F19" s="13" t="s">
        <v>93</v>
      </c>
      <c r="G19" s="21">
        <v>42485</v>
      </c>
      <c r="H19" s="14" t="s">
        <v>74</v>
      </c>
      <c r="I19" s="36"/>
      <c r="J19" s="15"/>
      <c r="K19" s="15"/>
      <c r="L19" s="15"/>
      <c r="M19" s="16"/>
      <c r="N19" s="1"/>
      <c r="O19" s="1"/>
      <c r="P19" s="1"/>
    </row>
    <row r="20" spans="1:16" x14ac:dyDescent="0.25">
      <c r="A20" s="13" t="s">
        <v>602</v>
      </c>
      <c r="B20" s="13" t="s">
        <v>603</v>
      </c>
      <c r="C20" s="14" t="s">
        <v>1549</v>
      </c>
      <c r="D20" s="14" t="s">
        <v>72</v>
      </c>
      <c r="E20" s="13" t="s">
        <v>108</v>
      </c>
      <c r="F20" s="13" t="s">
        <v>80</v>
      </c>
      <c r="G20" s="21">
        <v>42688</v>
      </c>
      <c r="H20" s="14" t="s">
        <v>74</v>
      </c>
      <c r="I20" s="36"/>
      <c r="J20" s="15"/>
      <c r="K20" s="15"/>
      <c r="L20" s="15"/>
      <c r="M20" s="16"/>
      <c r="N20" s="1"/>
      <c r="O20" s="1"/>
      <c r="P20" s="1"/>
    </row>
    <row r="21" spans="1:16" x14ac:dyDescent="0.25">
      <c r="A21" s="13" t="s">
        <v>1106</v>
      </c>
      <c r="B21" s="13" t="s">
        <v>1107</v>
      </c>
      <c r="C21" s="14" t="s">
        <v>1549</v>
      </c>
      <c r="D21" s="14" t="s">
        <v>72</v>
      </c>
      <c r="E21" s="13" t="s">
        <v>108</v>
      </c>
      <c r="F21" s="13" t="s">
        <v>80</v>
      </c>
      <c r="G21" s="21">
        <v>43290</v>
      </c>
      <c r="H21" s="14" t="s">
        <v>74</v>
      </c>
      <c r="I21" s="36"/>
      <c r="J21" s="15"/>
      <c r="K21" s="15"/>
      <c r="L21" s="15"/>
      <c r="M21" s="16"/>
      <c r="N21" s="1"/>
      <c r="O21" s="1"/>
      <c r="P21" s="1"/>
    </row>
    <row r="22" spans="1:16" x14ac:dyDescent="0.25">
      <c r="A22" s="13" t="s">
        <v>309</v>
      </c>
      <c r="B22" s="13" t="s">
        <v>310</v>
      </c>
      <c r="C22" s="14" t="s">
        <v>1549</v>
      </c>
      <c r="D22" s="14" t="s">
        <v>72</v>
      </c>
      <c r="E22" s="13" t="s">
        <v>311</v>
      </c>
      <c r="F22" s="13" t="s">
        <v>80</v>
      </c>
      <c r="G22" s="21">
        <v>42460</v>
      </c>
      <c r="H22" s="14" t="s">
        <v>74</v>
      </c>
      <c r="I22" s="36"/>
      <c r="J22" s="15"/>
      <c r="K22" s="15"/>
      <c r="L22" s="15"/>
      <c r="M22" s="16"/>
      <c r="N22" s="1"/>
      <c r="O22" s="1"/>
      <c r="P22" s="1"/>
    </row>
    <row r="23" spans="1:16" x14ac:dyDescent="0.25">
      <c r="A23" s="13" t="s">
        <v>101</v>
      </c>
      <c r="B23" s="13" t="s">
        <v>102</v>
      </c>
      <c r="C23" s="14" t="s">
        <v>1549</v>
      </c>
      <c r="D23" s="14" t="s">
        <v>72</v>
      </c>
      <c r="E23" s="13" t="s">
        <v>103</v>
      </c>
      <c r="F23" s="13" t="s">
        <v>56</v>
      </c>
      <c r="G23" s="21">
        <v>41949</v>
      </c>
      <c r="H23" s="14" t="s">
        <v>74</v>
      </c>
      <c r="I23" s="36"/>
      <c r="J23" s="15"/>
      <c r="K23" s="15"/>
      <c r="L23" s="15"/>
      <c r="M23" s="16"/>
      <c r="N23" s="1"/>
      <c r="O23" s="1"/>
      <c r="P23" s="1"/>
    </row>
    <row r="24" spans="1:16" x14ac:dyDescent="0.25">
      <c r="A24" s="13" t="s">
        <v>135</v>
      </c>
      <c r="B24" s="13" t="s">
        <v>136</v>
      </c>
      <c r="C24" s="14" t="s">
        <v>1549</v>
      </c>
      <c r="D24" s="14" t="s">
        <v>72</v>
      </c>
      <c r="E24" s="13" t="s">
        <v>108</v>
      </c>
      <c r="F24" s="13" t="s">
        <v>12</v>
      </c>
      <c r="G24" s="21">
        <v>42067</v>
      </c>
      <c r="H24" s="14" t="s">
        <v>74</v>
      </c>
      <c r="I24" s="36"/>
      <c r="J24" s="15"/>
      <c r="K24" s="15"/>
      <c r="L24" s="15"/>
      <c r="M24" s="16"/>
      <c r="N24" s="1"/>
      <c r="O24" s="1"/>
      <c r="P24" s="1"/>
    </row>
    <row r="25" spans="1:16" x14ac:dyDescent="0.25">
      <c r="A25" s="13" t="s">
        <v>1315</v>
      </c>
      <c r="B25" s="13" t="s">
        <v>1316</v>
      </c>
      <c r="C25" s="14" t="s">
        <v>1549</v>
      </c>
      <c r="D25" s="14" t="s">
        <v>72</v>
      </c>
      <c r="E25" s="13" t="s">
        <v>108</v>
      </c>
      <c r="F25" s="13" t="s">
        <v>12</v>
      </c>
      <c r="G25" s="21">
        <v>43423</v>
      </c>
      <c r="H25" s="14" t="s">
        <v>74</v>
      </c>
      <c r="I25" s="36"/>
      <c r="J25" s="15"/>
      <c r="K25" s="15"/>
      <c r="L25" s="15"/>
      <c r="M25" s="16"/>
      <c r="N25" s="1"/>
      <c r="O25" s="1"/>
      <c r="P25" s="1"/>
    </row>
    <row r="26" spans="1:16" x14ac:dyDescent="0.25">
      <c r="A26" s="13" t="s">
        <v>137</v>
      </c>
      <c r="B26" s="13" t="s">
        <v>138</v>
      </c>
      <c r="C26" s="14" t="s">
        <v>1549</v>
      </c>
      <c r="D26" s="14" t="s">
        <v>72</v>
      </c>
      <c r="E26" s="13" t="s">
        <v>139</v>
      </c>
      <c r="F26" s="13" t="s">
        <v>56</v>
      </c>
      <c r="G26" s="21">
        <v>42072</v>
      </c>
      <c r="H26" s="14" t="s">
        <v>74</v>
      </c>
      <c r="I26" s="36"/>
      <c r="J26" s="15"/>
      <c r="K26" s="15"/>
      <c r="L26" s="15"/>
      <c r="M26" s="16"/>
      <c r="N26" s="1"/>
      <c r="O26" s="1"/>
      <c r="P26" s="1"/>
    </row>
    <row r="27" spans="1:16" x14ac:dyDescent="0.25">
      <c r="A27" s="13" t="s">
        <v>294</v>
      </c>
      <c r="B27" s="13" t="s">
        <v>295</v>
      </c>
      <c r="C27" s="14" t="s">
        <v>1549</v>
      </c>
      <c r="D27" s="14" t="s">
        <v>72</v>
      </c>
      <c r="E27" s="13" t="s">
        <v>108</v>
      </c>
      <c r="F27" s="13" t="s">
        <v>12</v>
      </c>
      <c r="G27" s="21">
        <v>42443</v>
      </c>
      <c r="H27" s="14" t="s">
        <v>74</v>
      </c>
      <c r="I27" s="36"/>
      <c r="J27" s="15"/>
      <c r="K27" s="15"/>
      <c r="L27" s="15"/>
      <c r="M27" s="16"/>
      <c r="N27" s="1"/>
      <c r="O27" s="1"/>
      <c r="P27" s="1"/>
    </row>
    <row r="28" spans="1:16" x14ac:dyDescent="0.25">
      <c r="A28" s="13" t="s">
        <v>989</v>
      </c>
      <c r="B28" s="13" t="s">
        <v>990</v>
      </c>
      <c r="C28" s="14" t="s">
        <v>1549</v>
      </c>
      <c r="D28" s="14" t="s">
        <v>72</v>
      </c>
      <c r="E28" s="13" t="s">
        <v>108</v>
      </c>
      <c r="F28" s="13" t="s">
        <v>80</v>
      </c>
      <c r="G28" s="21">
        <v>43236</v>
      </c>
      <c r="H28" s="14" t="s">
        <v>74</v>
      </c>
      <c r="I28" s="36"/>
      <c r="J28" s="15"/>
      <c r="K28" s="15"/>
      <c r="L28" s="15"/>
      <c r="M28" s="16"/>
      <c r="N28" s="1"/>
      <c r="O28" s="1"/>
      <c r="P28" s="1"/>
    </row>
    <row r="29" spans="1:16" x14ac:dyDescent="0.25">
      <c r="A29" s="13" t="s">
        <v>1095</v>
      </c>
      <c r="B29" s="13" t="s">
        <v>1096</v>
      </c>
      <c r="C29" s="14" t="s">
        <v>1549</v>
      </c>
      <c r="D29" s="14" t="s">
        <v>72</v>
      </c>
      <c r="E29" s="13" t="s">
        <v>108</v>
      </c>
      <c r="F29" s="13" t="s">
        <v>12</v>
      </c>
      <c r="G29" s="21">
        <v>43283</v>
      </c>
      <c r="H29" s="14" t="s">
        <v>74</v>
      </c>
      <c r="I29" s="36"/>
      <c r="J29" s="15"/>
      <c r="K29" s="15"/>
      <c r="L29" s="15"/>
      <c r="M29" s="16"/>
      <c r="N29" s="1"/>
      <c r="O29" s="1"/>
      <c r="P29" s="1"/>
    </row>
    <row r="30" spans="1:16" x14ac:dyDescent="0.25">
      <c r="A30" s="13" t="s">
        <v>1276</v>
      </c>
      <c r="B30" s="13" t="s">
        <v>1277</v>
      </c>
      <c r="C30" s="14" t="s">
        <v>1549</v>
      </c>
      <c r="D30" s="14" t="s">
        <v>72</v>
      </c>
      <c r="E30" s="13" t="s">
        <v>108</v>
      </c>
      <c r="F30" s="13" t="s">
        <v>12</v>
      </c>
      <c r="G30" s="21">
        <v>43398</v>
      </c>
      <c r="H30" s="14" t="s">
        <v>74</v>
      </c>
      <c r="I30" s="36"/>
      <c r="J30" s="15"/>
      <c r="K30" s="15"/>
      <c r="L30" s="15"/>
      <c r="M30" s="16"/>
      <c r="N30" s="1"/>
      <c r="O30" s="1"/>
      <c r="P30" s="1"/>
    </row>
    <row r="31" spans="1:16" x14ac:dyDescent="0.25">
      <c r="A31" s="13" t="s">
        <v>1292</v>
      </c>
      <c r="B31" s="13" t="s">
        <v>1293</v>
      </c>
      <c r="C31" s="14" t="s">
        <v>1549</v>
      </c>
      <c r="D31" s="14" t="s">
        <v>72</v>
      </c>
      <c r="E31" s="13" t="s">
        <v>108</v>
      </c>
      <c r="F31" s="13" t="s">
        <v>55</v>
      </c>
      <c r="G31" s="21">
        <v>43405</v>
      </c>
      <c r="H31" s="14" t="s">
        <v>74</v>
      </c>
      <c r="I31" s="36"/>
      <c r="J31" s="15"/>
      <c r="K31" s="15"/>
      <c r="L31" s="15"/>
      <c r="M31" s="16"/>
      <c r="N31" s="1"/>
      <c r="O31" s="1"/>
      <c r="P31" s="1"/>
    </row>
    <row r="32" spans="1:16" x14ac:dyDescent="0.25">
      <c r="A32" s="13" t="s">
        <v>1223</v>
      </c>
      <c r="B32" s="13" t="s">
        <v>1224</v>
      </c>
      <c r="C32" s="14" t="s">
        <v>1549</v>
      </c>
      <c r="D32" s="14" t="s">
        <v>72</v>
      </c>
      <c r="E32" s="13" t="s">
        <v>1225</v>
      </c>
      <c r="F32" s="13" t="s">
        <v>12</v>
      </c>
      <c r="G32" s="21">
        <v>43381</v>
      </c>
      <c r="H32" s="14" t="s">
        <v>74</v>
      </c>
      <c r="I32" s="36"/>
      <c r="J32" s="15"/>
      <c r="K32" s="15"/>
      <c r="L32" s="15"/>
      <c r="M32" s="16"/>
      <c r="N32" s="1"/>
      <c r="O32" s="1"/>
      <c r="P32" s="1"/>
    </row>
    <row r="33" spans="1:16" x14ac:dyDescent="0.25">
      <c r="A33" s="13" t="s">
        <v>1294</v>
      </c>
      <c r="B33" s="13" t="s">
        <v>1295</v>
      </c>
      <c r="C33" s="14" t="s">
        <v>1549</v>
      </c>
      <c r="D33" s="14" t="s">
        <v>72</v>
      </c>
      <c r="E33" s="13" t="s">
        <v>108</v>
      </c>
      <c r="F33" s="13" t="s">
        <v>55</v>
      </c>
      <c r="G33" s="21">
        <v>43405</v>
      </c>
      <c r="H33" s="14" t="s">
        <v>74</v>
      </c>
      <c r="I33" s="36"/>
      <c r="J33" s="15"/>
      <c r="K33" s="15"/>
      <c r="L33" s="15"/>
      <c r="M33" s="16"/>
      <c r="N33" s="1"/>
      <c r="O33" s="1"/>
      <c r="P33" s="1"/>
    </row>
    <row r="34" spans="1:16" x14ac:dyDescent="0.25">
      <c r="A34" s="13" t="s">
        <v>461</v>
      </c>
      <c r="B34" s="13" t="s">
        <v>462</v>
      </c>
      <c r="C34" s="14" t="s">
        <v>1549</v>
      </c>
      <c r="D34" s="14" t="s">
        <v>32</v>
      </c>
      <c r="E34" s="13" t="s">
        <v>33</v>
      </c>
      <c r="F34" s="13" t="s">
        <v>12</v>
      </c>
      <c r="G34" s="21">
        <v>42569</v>
      </c>
      <c r="H34" s="14" t="s">
        <v>355</v>
      </c>
      <c r="I34" s="36"/>
      <c r="J34" s="15"/>
      <c r="K34" s="15"/>
      <c r="L34" s="15"/>
      <c r="M34" s="16"/>
      <c r="N34" s="1"/>
      <c r="O34" s="1"/>
      <c r="P34" s="1"/>
    </row>
    <row r="35" spans="1:16" x14ac:dyDescent="0.25">
      <c r="A35" s="13" t="s">
        <v>812</v>
      </c>
      <c r="B35" s="13" t="s">
        <v>813</v>
      </c>
      <c r="C35" s="14" t="s">
        <v>1549</v>
      </c>
      <c r="D35" s="14" t="s">
        <v>32</v>
      </c>
      <c r="E35" s="13" t="s">
        <v>33</v>
      </c>
      <c r="F35" s="13" t="s">
        <v>153</v>
      </c>
      <c r="G35" s="21">
        <v>43003</v>
      </c>
      <c r="H35" s="14" t="s">
        <v>355</v>
      </c>
      <c r="I35" s="36"/>
      <c r="J35" s="15"/>
      <c r="K35" s="15"/>
      <c r="L35" s="15"/>
      <c r="M35" s="16"/>
      <c r="N35" s="1"/>
      <c r="O35" s="1"/>
      <c r="P35" s="1"/>
    </row>
    <row r="36" spans="1:16" x14ac:dyDescent="0.25">
      <c r="A36" s="13" t="s">
        <v>915</v>
      </c>
      <c r="B36" s="13" t="s">
        <v>916</v>
      </c>
      <c r="C36" s="14" t="s">
        <v>1549</v>
      </c>
      <c r="D36" s="14" t="s">
        <v>32</v>
      </c>
      <c r="E36" s="13" t="s">
        <v>33</v>
      </c>
      <c r="F36" s="13" t="s">
        <v>80</v>
      </c>
      <c r="G36" s="21">
        <v>43199</v>
      </c>
      <c r="H36" s="14" t="s">
        <v>355</v>
      </c>
      <c r="I36" s="36"/>
      <c r="J36" s="15"/>
      <c r="K36" s="15"/>
      <c r="L36" s="15"/>
      <c r="M36" s="16"/>
      <c r="N36" s="1"/>
      <c r="O36" s="1"/>
      <c r="P36" s="1"/>
    </row>
    <row r="37" spans="1:16" x14ac:dyDescent="0.25">
      <c r="A37" s="13" t="s">
        <v>978</v>
      </c>
      <c r="B37" s="13" t="s">
        <v>979</v>
      </c>
      <c r="C37" s="14" t="s">
        <v>1549</v>
      </c>
      <c r="D37" s="14" t="s">
        <v>32</v>
      </c>
      <c r="E37" s="13" t="s">
        <v>33</v>
      </c>
      <c r="F37" s="13" t="s">
        <v>80</v>
      </c>
      <c r="G37" s="21">
        <v>43229</v>
      </c>
      <c r="H37" s="14" t="s">
        <v>355</v>
      </c>
      <c r="I37" s="36"/>
      <c r="J37" s="15"/>
      <c r="K37" s="15"/>
      <c r="L37" s="15"/>
      <c r="M37" s="16"/>
      <c r="N37" s="1"/>
      <c r="O37" s="1"/>
      <c r="P37" s="1"/>
    </row>
    <row r="38" spans="1:16" x14ac:dyDescent="0.25">
      <c r="A38" s="13" t="s">
        <v>1042</v>
      </c>
      <c r="B38" s="13" t="s">
        <v>1043</v>
      </c>
      <c r="C38" s="14" t="s">
        <v>1549</v>
      </c>
      <c r="D38" s="14" t="s">
        <v>32</v>
      </c>
      <c r="E38" s="13" t="s">
        <v>33</v>
      </c>
      <c r="F38" s="13" t="s">
        <v>12</v>
      </c>
      <c r="G38" s="21">
        <v>43262</v>
      </c>
      <c r="H38" s="14" t="s">
        <v>355</v>
      </c>
      <c r="I38" s="36"/>
      <c r="J38" s="15"/>
      <c r="K38" s="15"/>
      <c r="L38" s="15"/>
      <c r="M38" s="16"/>
      <c r="N38" s="1"/>
      <c r="O38" s="1"/>
      <c r="P38" s="1"/>
    </row>
    <row r="39" spans="1:16" x14ac:dyDescent="0.25">
      <c r="A39" s="13" t="s">
        <v>1159</v>
      </c>
      <c r="B39" s="13" t="s">
        <v>1160</v>
      </c>
      <c r="C39" s="14" t="s">
        <v>1549</v>
      </c>
      <c r="D39" s="14" t="s">
        <v>32</v>
      </c>
      <c r="E39" s="13" t="s">
        <v>33</v>
      </c>
      <c r="F39" s="13" t="s">
        <v>55</v>
      </c>
      <c r="G39" s="21">
        <v>43304</v>
      </c>
      <c r="H39" s="14" t="s">
        <v>355</v>
      </c>
      <c r="I39" s="36"/>
      <c r="J39" s="15"/>
      <c r="K39" s="15"/>
      <c r="L39" s="15"/>
      <c r="M39" s="16"/>
      <c r="N39" s="1"/>
      <c r="O39" s="1"/>
      <c r="P39" s="1"/>
    </row>
    <row r="40" spans="1:16" x14ac:dyDescent="0.25">
      <c r="A40" s="13" t="s">
        <v>354</v>
      </c>
      <c r="B40" s="13" t="s">
        <v>355</v>
      </c>
      <c r="C40" s="14" t="s">
        <v>1549</v>
      </c>
      <c r="D40" s="14" t="s">
        <v>32</v>
      </c>
      <c r="E40" s="13" t="s">
        <v>356</v>
      </c>
      <c r="F40" s="13" t="s">
        <v>56</v>
      </c>
      <c r="G40" s="21">
        <v>42487</v>
      </c>
      <c r="H40" s="14" t="s">
        <v>446</v>
      </c>
      <c r="I40" s="36"/>
      <c r="J40" s="15"/>
      <c r="K40" s="15"/>
      <c r="L40" s="15"/>
      <c r="M40" s="16"/>
      <c r="N40" s="1"/>
      <c r="O40" s="1"/>
      <c r="P40" s="1"/>
    </row>
    <row r="41" spans="1:16" x14ac:dyDescent="0.25">
      <c r="A41" s="13" t="s">
        <v>495</v>
      </c>
      <c r="B41" s="13" t="s">
        <v>496</v>
      </c>
      <c r="C41" s="14" t="s">
        <v>1549</v>
      </c>
      <c r="D41" s="14" t="s">
        <v>32</v>
      </c>
      <c r="E41" s="13" t="s">
        <v>33</v>
      </c>
      <c r="F41" s="13" t="s">
        <v>80</v>
      </c>
      <c r="G41" s="21">
        <v>42597</v>
      </c>
      <c r="H41" s="14" t="s">
        <v>355</v>
      </c>
      <c r="I41" s="36"/>
      <c r="J41" s="15"/>
      <c r="K41" s="15"/>
      <c r="L41" s="15"/>
      <c r="M41" s="16"/>
      <c r="N41" s="1"/>
      <c r="O41" s="1"/>
      <c r="P41" s="1"/>
    </row>
    <row r="42" spans="1:16" x14ac:dyDescent="0.25">
      <c r="A42" s="13" t="s">
        <v>906</v>
      </c>
      <c r="B42" s="13" t="s">
        <v>907</v>
      </c>
      <c r="C42" s="14" t="s">
        <v>1549</v>
      </c>
      <c r="D42" s="14" t="s">
        <v>32</v>
      </c>
      <c r="E42" s="13" t="s">
        <v>33</v>
      </c>
      <c r="F42" s="13" t="s">
        <v>56</v>
      </c>
      <c r="G42" s="21">
        <v>43192</v>
      </c>
      <c r="H42" s="14" t="s">
        <v>355</v>
      </c>
      <c r="I42" s="36"/>
      <c r="J42" s="15"/>
      <c r="K42" s="15"/>
      <c r="L42" s="15"/>
      <c r="M42" s="16"/>
      <c r="N42" s="1"/>
      <c r="O42" s="1"/>
      <c r="P42" s="1"/>
    </row>
    <row r="43" spans="1:16" x14ac:dyDescent="0.25">
      <c r="A43" s="13" t="s">
        <v>1108</v>
      </c>
      <c r="B43" s="13" t="s">
        <v>1109</v>
      </c>
      <c r="C43" s="14" t="s">
        <v>1549</v>
      </c>
      <c r="D43" s="14" t="s">
        <v>32</v>
      </c>
      <c r="E43" s="13" t="s">
        <v>33</v>
      </c>
      <c r="F43" s="13" t="s">
        <v>12</v>
      </c>
      <c r="G43" s="21">
        <v>43290</v>
      </c>
      <c r="H43" s="14" t="s">
        <v>355</v>
      </c>
      <c r="I43" s="36"/>
      <c r="J43" s="15"/>
      <c r="K43" s="15"/>
      <c r="L43" s="15"/>
      <c r="M43" s="16"/>
      <c r="N43" s="1"/>
      <c r="O43" s="1"/>
      <c r="P43" s="1"/>
    </row>
    <row r="44" spans="1:16" x14ac:dyDescent="0.25">
      <c r="A44" s="13" t="s">
        <v>1221</v>
      </c>
      <c r="B44" s="13" t="s">
        <v>1222</v>
      </c>
      <c r="C44" s="14" t="s">
        <v>1549</v>
      </c>
      <c r="D44" s="14" t="s">
        <v>32</v>
      </c>
      <c r="E44" s="13" t="s">
        <v>33</v>
      </c>
      <c r="F44" s="13" t="s">
        <v>55</v>
      </c>
      <c r="G44" s="21">
        <v>43381</v>
      </c>
      <c r="H44" s="14" t="s">
        <v>355</v>
      </c>
      <c r="I44" s="36"/>
      <c r="J44" s="15"/>
      <c r="K44" s="15"/>
      <c r="L44" s="15"/>
      <c r="M44" s="16"/>
      <c r="N44" s="1"/>
      <c r="O44" s="1"/>
      <c r="P44" s="1"/>
    </row>
    <row r="45" spans="1:16" x14ac:dyDescent="0.25">
      <c r="A45" s="13" t="s">
        <v>1335</v>
      </c>
      <c r="B45" s="13" t="s">
        <v>1553</v>
      </c>
      <c r="C45" s="14" t="s">
        <v>1549</v>
      </c>
      <c r="D45" s="14" t="s">
        <v>32</v>
      </c>
      <c r="E45" s="13" t="s">
        <v>1336</v>
      </c>
      <c r="F45" s="13" t="s">
        <v>55</v>
      </c>
      <c r="G45" s="21">
        <v>43283</v>
      </c>
      <c r="H45" s="14" t="s">
        <v>355</v>
      </c>
      <c r="I45" s="36"/>
      <c r="J45" s="15"/>
      <c r="K45" s="15"/>
      <c r="L45" s="15"/>
      <c r="M45" s="16"/>
      <c r="N45" s="1"/>
      <c r="O45" s="1"/>
      <c r="P45" s="1"/>
    </row>
    <row r="46" spans="1:16" x14ac:dyDescent="0.25">
      <c r="A46" s="13" t="s">
        <v>546</v>
      </c>
      <c r="B46" s="13" t="s">
        <v>547</v>
      </c>
      <c r="C46" s="14" t="s">
        <v>1549</v>
      </c>
      <c r="D46" s="14" t="s">
        <v>32</v>
      </c>
      <c r="E46" s="13" t="s">
        <v>548</v>
      </c>
      <c r="F46" s="13" t="s">
        <v>12</v>
      </c>
      <c r="G46" s="21">
        <v>42632</v>
      </c>
      <c r="H46" s="14" t="s">
        <v>446</v>
      </c>
      <c r="I46" s="36"/>
      <c r="J46" s="15"/>
      <c r="K46" s="15"/>
      <c r="L46" s="15"/>
      <c r="M46" s="16"/>
      <c r="N46" s="1"/>
      <c r="O46" s="1"/>
      <c r="P46" s="1"/>
    </row>
    <row r="47" spans="1:16" x14ac:dyDescent="0.25">
      <c r="A47" s="13" t="s">
        <v>967</v>
      </c>
      <c r="B47" s="13" t="s">
        <v>968</v>
      </c>
      <c r="C47" s="14" t="s">
        <v>1549</v>
      </c>
      <c r="D47" s="14" t="s">
        <v>32</v>
      </c>
      <c r="E47" s="13" t="s">
        <v>33</v>
      </c>
      <c r="F47" s="13" t="s">
        <v>80</v>
      </c>
      <c r="G47" s="21">
        <v>43222</v>
      </c>
      <c r="H47" s="14" t="s">
        <v>547</v>
      </c>
      <c r="I47" s="36"/>
      <c r="J47" s="15"/>
      <c r="K47" s="15"/>
      <c r="L47" s="15"/>
      <c r="M47" s="16"/>
      <c r="N47" s="1"/>
      <c r="O47" s="1"/>
      <c r="P47" s="1"/>
    </row>
    <row r="48" spans="1:16" x14ac:dyDescent="0.25">
      <c r="A48" s="13" t="s">
        <v>1011</v>
      </c>
      <c r="B48" s="13" t="s">
        <v>1012</v>
      </c>
      <c r="C48" s="14" t="s">
        <v>1549</v>
      </c>
      <c r="D48" s="14" t="s">
        <v>32</v>
      </c>
      <c r="E48" s="13" t="s">
        <v>33</v>
      </c>
      <c r="F48" s="13" t="s">
        <v>12</v>
      </c>
      <c r="G48" s="21">
        <v>43243</v>
      </c>
      <c r="H48" s="14" t="s">
        <v>547</v>
      </c>
      <c r="I48" s="36"/>
      <c r="J48" s="15"/>
      <c r="K48" s="15"/>
      <c r="L48" s="15"/>
      <c r="M48" s="16"/>
      <c r="N48" s="1"/>
      <c r="O48" s="1"/>
      <c r="P48" s="1"/>
    </row>
    <row r="49" spans="1:16" x14ac:dyDescent="0.25">
      <c r="A49" s="13" t="s">
        <v>1115</v>
      </c>
      <c r="B49" s="13" t="s">
        <v>1116</v>
      </c>
      <c r="C49" s="14" t="s">
        <v>1549</v>
      </c>
      <c r="D49" s="14" t="s">
        <v>32</v>
      </c>
      <c r="E49" s="13" t="s">
        <v>33</v>
      </c>
      <c r="F49" s="13" t="s">
        <v>12</v>
      </c>
      <c r="G49" s="21">
        <v>43293</v>
      </c>
      <c r="H49" s="14" t="s">
        <v>547</v>
      </c>
      <c r="I49" s="36"/>
      <c r="J49" s="15"/>
      <c r="K49" s="15"/>
      <c r="L49" s="15"/>
      <c r="M49" s="16"/>
      <c r="N49" s="1"/>
      <c r="O49" s="1"/>
      <c r="P49" s="1"/>
    </row>
    <row r="50" spans="1:16" x14ac:dyDescent="0.25">
      <c r="A50" s="13" t="s">
        <v>444</v>
      </c>
      <c r="B50" s="13" t="s">
        <v>445</v>
      </c>
      <c r="C50" s="14" t="s">
        <v>1549</v>
      </c>
      <c r="D50" s="14" t="s">
        <v>32</v>
      </c>
      <c r="E50" s="13" t="s">
        <v>33</v>
      </c>
      <c r="F50" s="13" t="s">
        <v>12</v>
      </c>
      <c r="G50" s="21">
        <v>42557</v>
      </c>
      <c r="H50" s="14" t="s">
        <v>446</v>
      </c>
      <c r="I50" s="36"/>
      <c r="J50" s="15"/>
      <c r="K50" s="15"/>
      <c r="L50" s="15"/>
      <c r="M50" s="16"/>
      <c r="N50" s="1"/>
      <c r="O50" s="1"/>
      <c r="P50" s="1"/>
    </row>
    <row r="51" spans="1:16" x14ac:dyDescent="0.25">
      <c r="A51" s="13" t="s">
        <v>999</v>
      </c>
      <c r="B51" s="13" t="s">
        <v>1000</v>
      </c>
      <c r="C51" s="14" t="s">
        <v>1549</v>
      </c>
      <c r="D51" s="14" t="s">
        <v>32</v>
      </c>
      <c r="E51" s="13" t="s">
        <v>33</v>
      </c>
      <c r="F51" s="13" t="s">
        <v>56</v>
      </c>
      <c r="G51" s="21">
        <v>43241</v>
      </c>
      <c r="H51" s="14" t="s">
        <v>446</v>
      </c>
      <c r="I51" s="36"/>
      <c r="J51" s="15"/>
      <c r="K51" s="15"/>
      <c r="L51" s="15"/>
      <c r="M51" s="16"/>
      <c r="N51" s="1"/>
      <c r="O51" s="1"/>
      <c r="P51" s="1"/>
    </row>
    <row r="52" spans="1:16" x14ac:dyDescent="0.25">
      <c r="A52" s="13" t="s">
        <v>1085</v>
      </c>
      <c r="B52" s="13" t="s">
        <v>1086</v>
      </c>
      <c r="C52" s="14" t="s">
        <v>1549</v>
      </c>
      <c r="D52" s="14" t="s">
        <v>32</v>
      </c>
      <c r="E52" s="13" t="s">
        <v>33</v>
      </c>
      <c r="F52" s="13" t="s">
        <v>12</v>
      </c>
      <c r="G52" s="21">
        <v>43276</v>
      </c>
      <c r="H52" s="14" t="s">
        <v>446</v>
      </c>
      <c r="I52" s="36"/>
      <c r="J52" s="15"/>
      <c r="K52" s="15"/>
      <c r="L52" s="15"/>
      <c r="M52" s="16"/>
      <c r="N52" s="1"/>
      <c r="O52" s="1"/>
      <c r="P52" s="1"/>
    </row>
    <row r="53" spans="1:16" x14ac:dyDescent="0.25">
      <c r="A53" s="13" t="s">
        <v>722</v>
      </c>
      <c r="B53" s="13" t="s">
        <v>446</v>
      </c>
      <c r="C53" s="14" t="s">
        <v>1549</v>
      </c>
      <c r="D53" s="14" t="s">
        <v>32</v>
      </c>
      <c r="E53" s="13" t="s">
        <v>723</v>
      </c>
      <c r="F53" s="13" t="s">
        <v>47</v>
      </c>
      <c r="G53" s="21">
        <v>42851</v>
      </c>
      <c r="H53" s="14" t="s">
        <v>74</v>
      </c>
      <c r="I53" s="36"/>
      <c r="J53" s="15"/>
      <c r="K53" s="15"/>
      <c r="L53" s="15"/>
      <c r="M53" s="16"/>
      <c r="N53" s="1"/>
      <c r="O53" s="1"/>
      <c r="P53" s="1"/>
    </row>
    <row r="54" spans="1:16" x14ac:dyDescent="0.25">
      <c r="A54" s="13" t="s">
        <v>286</v>
      </c>
      <c r="B54" s="13" t="s">
        <v>87</v>
      </c>
      <c r="C54" s="14" t="s">
        <v>1549</v>
      </c>
      <c r="D54" s="14" t="s">
        <v>48</v>
      </c>
      <c r="E54" s="13" t="s">
        <v>287</v>
      </c>
      <c r="F54" s="13" t="s">
        <v>56</v>
      </c>
      <c r="G54" s="21">
        <v>42432</v>
      </c>
      <c r="H54" s="14" t="s">
        <v>97</v>
      </c>
      <c r="I54" s="36"/>
      <c r="J54" s="15"/>
      <c r="K54" s="15"/>
      <c r="L54" s="15"/>
      <c r="M54" s="16"/>
      <c r="N54" s="1"/>
      <c r="O54" s="1"/>
      <c r="P54" s="1"/>
    </row>
    <row r="55" spans="1:16" x14ac:dyDescent="0.25">
      <c r="A55" s="13" t="s">
        <v>442</v>
      </c>
      <c r="B55" s="13" t="s">
        <v>443</v>
      </c>
      <c r="C55" s="14" t="s">
        <v>1549</v>
      </c>
      <c r="D55" s="14" t="s">
        <v>48</v>
      </c>
      <c r="E55" s="13" t="s">
        <v>86</v>
      </c>
      <c r="F55" s="13" t="s">
        <v>55</v>
      </c>
      <c r="G55" s="21">
        <v>42557</v>
      </c>
      <c r="H55" s="14" t="s">
        <v>87</v>
      </c>
      <c r="I55" s="36"/>
      <c r="J55" s="15"/>
      <c r="K55" s="15"/>
      <c r="L55" s="15"/>
      <c r="M55" s="16"/>
      <c r="N55" s="1"/>
      <c r="O55" s="1"/>
      <c r="P55" s="1"/>
    </row>
    <row r="56" spans="1:16" x14ac:dyDescent="0.25">
      <c r="A56" s="13" t="s">
        <v>553</v>
      </c>
      <c r="B56" s="13" t="s">
        <v>554</v>
      </c>
      <c r="C56" s="14" t="s">
        <v>1549</v>
      </c>
      <c r="D56" s="14" t="s">
        <v>48</v>
      </c>
      <c r="E56" s="13" t="s">
        <v>86</v>
      </c>
      <c r="F56" s="13" t="s">
        <v>12</v>
      </c>
      <c r="G56" s="21">
        <v>42639</v>
      </c>
      <c r="H56" s="14" t="s">
        <v>87</v>
      </c>
      <c r="I56" s="36"/>
      <c r="J56" s="15"/>
      <c r="K56" s="15"/>
      <c r="L56" s="15"/>
      <c r="M56" s="16"/>
      <c r="N56" s="1"/>
      <c r="O56" s="1"/>
      <c r="P56" s="1"/>
    </row>
    <row r="57" spans="1:16" x14ac:dyDescent="0.25">
      <c r="A57" s="13" t="s">
        <v>255</v>
      </c>
      <c r="B57" s="13" t="s">
        <v>256</v>
      </c>
      <c r="C57" s="14" t="s">
        <v>1549</v>
      </c>
      <c r="D57" s="14" t="s">
        <v>48</v>
      </c>
      <c r="E57" s="13" t="s">
        <v>244</v>
      </c>
      <c r="F57" s="13" t="s">
        <v>80</v>
      </c>
      <c r="G57" s="21">
        <v>42345</v>
      </c>
      <c r="H57" s="14" t="s">
        <v>97</v>
      </c>
      <c r="I57" s="36"/>
      <c r="J57" s="15"/>
      <c r="K57" s="15"/>
      <c r="L57" s="15"/>
      <c r="M57" s="16"/>
      <c r="N57" s="1"/>
      <c r="O57" s="1"/>
      <c r="P57" s="1"/>
    </row>
    <row r="58" spans="1:16" x14ac:dyDescent="0.25">
      <c r="A58" s="13" t="s">
        <v>986</v>
      </c>
      <c r="B58" s="13" t="s">
        <v>987</v>
      </c>
      <c r="C58" s="14" t="s">
        <v>1549</v>
      </c>
      <c r="D58" s="14" t="s">
        <v>48</v>
      </c>
      <c r="E58" s="13" t="s">
        <v>692</v>
      </c>
      <c r="F58" s="13" t="s">
        <v>80</v>
      </c>
      <c r="G58" s="21">
        <v>43236</v>
      </c>
      <c r="H58" s="14" t="s">
        <v>97</v>
      </c>
      <c r="I58" s="36"/>
      <c r="J58" s="15"/>
      <c r="K58" s="15"/>
      <c r="L58" s="15"/>
      <c r="M58" s="16"/>
      <c r="N58" s="1"/>
      <c r="O58" s="1"/>
      <c r="P58" s="1"/>
    </row>
    <row r="59" spans="1:16" x14ac:dyDescent="0.25">
      <c r="A59" s="13" t="s">
        <v>1314</v>
      </c>
      <c r="B59" s="13" t="s">
        <v>1554</v>
      </c>
      <c r="C59" s="14" t="s">
        <v>1549</v>
      </c>
      <c r="D59" s="14" t="s">
        <v>48</v>
      </c>
      <c r="E59" s="13" t="s">
        <v>244</v>
      </c>
      <c r="F59" s="13" t="s">
        <v>55</v>
      </c>
      <c r="G59" s="21">
        <v>43423</v>
      </c>
      <c r="H59" s="14" t="s">
        <v>97</v>
      </c>
      <c r="I59" s="36"/>
      <c r="J59" s="15"/>
      <c r="K59" s="15"/>
      <c r="L59" s="15"/>
      <c r="M59" s="16"/>
      <c r="N59" s="1"/>
      <c r="O59" s="1"/>
      <c r="P59" s="1"/>
    </row>
    <row r="60" spans="1:16" x14ac:dyDescent="0.25">
      <c r="A60" s="13" t="s">
        <v>1317</v>
      </c>
      <c r="B60" s="13" t="s">
        <v>1555</v>
      </c>
      <c r="C60" s="14" t="s">
        <v>1549</v>
      </c>
      <c r="D60" s="14" t="s">
        <v>48</v>
      </c>
      <c r="E60" s="13" t="s">
        <v>244</v>
      </c>
      <c r="F60" s="13" t="s">
        <v>55</v>
      </c>
      <c r="G60" s="21">
        <v>43424</v>
      </c>
      <c r="H60" s="14" t="s">
        <v>97</v>
      </c>
      <c r="I60" s="36"/>
      <c r="J60" s="15"/>
      <c r="K60" s="15"/>
      <c r="L60" s="15"/>
      <c r="M60" s="16"/>
      <c r="N60" s="1"/>
      <c r="O60" s="1"/>
      <c r="P60" s="1"/>
    </row>
    <row r="61" spans="1:16" x14ac:dyDescent="0.25">
      <c r="A61" s="13" t="s">
        <v>579</v>
      </c>
      <c r="B61" s="13" t="s">
        <v>580</v>
      </c>
      <c r="C61" s="14" t="s">
        <v>1549</v>
      </c>
      <c r="D61" s="14" t="s">
        <v>48</v>
      </c>
      <c r="E61" s="13" t="s">
        <v>49</v>
      </c>
      <c r="F61" s="13" t="s">
        <v>80</v>
      </c>
      <c r="G61" s="21">
        <v>42670</v>
      </c>
      <c r="H61" s="14" t="s">
        <v>225</v>
      </c>
      <c r="I61" s="36"/>
      <c r="J61" s="15"/>
      <c r="K61" s="15"/>
      <c r="L61" s="15"/>
      <c r="M61" s="16"/>
      <c r="N61" s="1"/>
      <c r="O61" s="1"/>
      <c r="P61" s="1"/>
    </row>
    <row r="62" spans="1:16" x14ac:dyDescent="0.25">
      <c r="A62" s="13" t="s">
        <v>1274</v>
      </c>
      <c r="B62" s="13" t="s">
        <v>1275</v>
      </c>
      <c r="C62" s="14" t="s">
        <v>1549</v>
      </c>
      <c r="D62" s="14" t="s">
        <v>48</v>
      </c>
      <c r="E62" s="13" t="s">
        <v>49</v>
      </c>
      <c r="F62" s="13" t="s">
        <v>12</v>
      </c>
      <c r="G62" s="21">
        <v>43398</v>
      </c>
      <c r="H62" s="14" t="s">
        <v>225</v>
      </c>
      <c r="I62" s="36"/>
      <c r="J62" s="15"/>
      <c r="K62" s="15"/>
      <c r="L62" s="15"/>
      <c r="M62" s="16"/>
      <c r="N62" s="1"/>
      <c r="O62" s="1"/>
      <c r="P62" s="1"/>
    </row>
    <row r="63" spans="1:16" x14ac:dyDescent="0.25">
      <c r="A63" s="13" t="s">
        <v>296</v>
      </c>
      <c r="B63" s="13" t="s">
        <v>225</v>
      </c>
      <c r="C63" s="14" t="s">
        <v>1549</v>
      </c>
      <c r="D63" s="14" t="s">
        <v>48</v>
      </c>
      <c r="E63" s="13" t="s">
        <v>297</v>
      </c>
      <c r="F63" s="13" t="s">
        <v>56</v>
      </c>
      <c r="G63" s="21">
        <v>42443</v>
      </c>
      <c r="H63" s="14" t="s">
        <v>97</v>
      </c>
      <c r="I63" s="36"/>
      <c r="J63" s="15"/>
      <c r="K63" s="15"/>
      <c r="L63" s="15"/>
      <c r="M63" s="16"/>
      <c r="N63" s="1"/>
      <c r="O63" s="1"/>
      <c r="P63" s="1"/>
    </row>
    <row r="64" spans="1:16" x14ac:dyDescent="0.25">
      <c r="A64" s="13" t="s">
        <v>511</v>
      </c>
      <c r="B64" s="13" t="s">
        <v>512</v>
      </c>
      <c r="C64" s="14" t="s">
        <v>1549</v>
      </c>
      <c r="D64" s="14" t="s">
        <v>48</v>
      </c>
      <c r="E64" s="13" t="s">
        <v>49</v>
      </c>
      <c r="F64" s="13" t="s">
        <v>12</v>
      </c>
      <c r="G64" s="21">
        <v>42606</v>
      </c>
      <c r="H64" s="14" t="s">
        <v>225</v>
      </c>
      <c r="I64" s="36"/>
      <c r="J64" s="15"/>
      <c r="K64" s="15"/>
      <c r="L64" s="15"/>
      <c r="M64" s="16"/>
      <c r="N64" s="1"/>
      <c r="O64" s="1"/>
      <c r="P64" s="1"/>
    </row>
    <row r="65" spans="1:16" x14ac:dyDescent="0.25">
      <c r="A65" s="13" t="s">
        <v>1240</v>
      </c>
      <c r="B65" s="13" t="s">
        <v>97</v>
      </c>
      <c r="C65" s="14" t="s">
        <v>1549</v>
      </c>
      <c r="D65" s="14" t="s">
        <v>48</v>
      </c>
      <c r="E65" s="13" t="s">
        <v>529</v>
      </c>
      <c r="F65" s="13" t="s">
        <v>56</v>
      </c>
      <c r="G65" s="21">
        <v>43383</v>
      </c>
      <c r="H65" s="14" t="s">
        <v>74</v>
      </c>
      <c r="I65" s="36"/>
      <c r="J65" s="15"/>
      <c r="K65" s="15"/>
      <c r="L65" s="15"/>
      <c r="M65" s="16"/>
      <c r="N65" s="1"/>
      <c r="O65" s="1"/>
      <c r="P65" s="1"/>
    </row>
    <row r="66" spans="1:16" x14ac:dyDescent="0.25">
      <c r="A66" s="13" t="s">
        <v>1257</v>
      </c>
      <c r="B66" s="13" t="s">
        <v>396</v>
      </c>
      <c r="C66" s="14" t="s">
        <v>1549</v>
      </c>
      <c r="D66" s="14" t="s">
        <v>1556</v>
      </c>
      <c r="E66" s="13" t="s">
        <v>1258</v>
      </c>
      <c r="F66" s="13" t="s">
        <v>47</v>
      </c>
      <c r="G66" s="21">
        <v>43391</v>
      </c>
      <c r="H66" s="14" t="s">
        <v>74</v>
      </c>
      <c r="I66" s="36"/>
      <c r="J66" s="15"/>
      <c r="K66" s="15"/>
      <c r="L66" s="15"/>
      <c r="M66" s="16"/>
      <c r="N66" s="1"/>
      <c r="O66" s="1"/>
      <c r="P66" s="1"/>
    </row>
    <row r="67" spans="1:16" x14ac:dyDescent="0.25">
      <c r="A67" s="13" t="s">
        <v>1307</v>
      </c>
      <c r="B67" s="13" t="s">
        <v>1431</v>
      </c>
      <c r="C67" s="14" t="s">
        <v>1549</v>
      </c>
      <c r="D67" s="14" t="s">
        <v>1556</v>
      </c>
      <c r="E67" s="13" t="s">
        <v>1308</v>
      </c>
      <c r="F67" s="13" t="s">
        <v>12</v>
      </c>
      <c r="G67" s="21">
        <v>43416</v>
      </c>
      <c r="H67" s="14" t="s">
        <v>396</v>
      </c>
      <c r="I67" s="36"/>
      <c r="J67" s="15"/>
      <c r="K67" s="15"/>
      <c r="L67" s="15"/>
      <c r="M67" s="16"/>
      <c r="N67" s="1"/>
      <c r="O67" s="1"/>
      <c r="P67" s="1"/>
    </row>
    <row r="68" spans="1:16" x14ac:dyDescent="0.25">
      <c r="A68" s="13" t="s">
        <v>1318</v>
      </c>
      <c r="B68" s="13" t="s">
        <v>1319</v>
      </c>
      <c r="C68" s="14" t="s">
        <v>1549</v>
      </c>
      <c r="D68" s="14" t="s">
        <v>1556</v>
      </c>
      <c r="E68" s="13" t="s">
        <v>1308</v>
      </c>
      <c r="F68" s="13" t="s">
        <v>12</v>
      </c>
      <c r="G68" s="21">
        <v>43425</v>
      </c>
      <c r="H68" s="14" t="s">
        <v>396</v>
      </c>
      <c r="I68" s="36"/>
      <c r="J68" s="15"/>
      <c r="K68" s="15"/>
      <c r="L68" s="15"/>
      <c r="M68" s="16"/>
      <c r="N68" s="1"/>
      <c r="O68" s="1"/>
      <c r="P68" s="1"/>
    </row>
    <row r="69" spans="1:16" x14ac:dyDescent="0.25">
      <c r="A69" s="13" t="s">
        <v>1341</v>
      </c>
      <c r="B69" s="13" t="s">
        <v>1342</v>
      </c>
      <c r="C69" s="14" t="s">
        <v>1549</v>
      </c>
      <c r="D69" s="14" t="s">
        <v>1556</v>
      </c>
      <c r="E69" s="13" t="s">
        <v>1308</v>
      </c>
      <c r="F69" s="13" t="s">
        <v>12</v>
      </c>
      <c r="G69" s="21">
        <v>43433</v>
      </c>
      <c r="H69" s="14" t="s">
        <v>396</v>
      </c>
      <c r="I69" s="36"/>
      <c r="J69" s="15"/>
      <c r="K69" s="15"/>
      <c r="L69" s="15"/>
      <c r="M69" s="16"/>
      <c r="N69" s="1"/>
      <c r="O69" s="1"/>
      <c r="P69" s="1"/>
    </row>
    <row r="70" spans="1:16" x14ac:dyDescent="0.25">
      <c r="A70" s="13" t="s">
        <v>1333</v>
      </c>
      <c r="B70" s="13" t="s">
        <v>1557</v>
      </c>
      <c r="C70" s="14" t="s">
        <v>1549</v>
      </c>
      <c r="D70" s="14" t="s">
        <v>1556</v>
      </c>
      <c r="E70" s="13" t="s">
        <v>1334</v>
      </c>
      <c r="F70" s="13" t="s">
        <v>80</v>
      </c>
      <c r="G70" s="21">
        <v>43294</v>
      </c>
      <c r="H70" s="14" t="s">
        <v>74</v>
      </c>
      <c r="I70" s="36"/>
      <c r="J70" s="15"/>
      <c r="K70" s="15"/>
      <c r="L70" s="15"/>
      <c r="M70" s="16"/>
      <c r="N70" s="1"/>
      <c r="O70" s="1"/>
      <c r="P70" s="1"/>
    </row>
    <row r="71" spans="1:16" x14ac:dyDescent="0.25">
      <c r="A71" s="13" t="s">
        <v>393</v>
      </c>
      <c r="B71" s="13" t="s">
        <v>394</v>
      </c>
      <c r="C71" s="14" t="s">
        <v>1549</v>
      </c>
      <c r="D71" s="14" t="s">
        <v>1556</v>
      </c>
      <c r="E71" s="13" t="s">
        <v>395</v>
      </c>
      <c r="F71" s="13" t="s">
        <v>56</v>
      </c>
      <c r="G71" s="21">
        <v>42522</v>
      </c>
      <c r="H71" s="14" t="s">
        <v>396</v>
      </c>
      <c r="I71" s="36"/>
      <c r="J71" s="15"/>
      <c r="K71" s="15"/>
      <c r="L71" s="15"/>
      <c r="M71" s="16"/>
      <c r="N71" s="1"/>
      <c r="O71" s="1"/>
      <c r="P71" s="1"/>
    </row>
    <row r="72" spans="1:16" x14ac:dyDescent="0.25">
      <c r="A72" s="13" t="s">
        <v>489</v>
      </c>
      <c r="B72" s="13" t="s">
        <v>490</v>
      </c>
      <c r="C72" s="14" t="s">
        <v>1549</v>
      </c>
      <c r="D72" s="14" t="s">
        <v>1556</v>
      </c>
      <c r="E72" s="13" t="s">
        <v>1558</v>
      </c>
      <c r="F72" s="13" t="s">
        <v>56</v>
      </c>
      <c r="G72" s="21">
        <v>42583</v>
      </c>
      <c r="H72" s="14" t="s">
        <v>396</v>
      </c>
      <c r="I72" s="36"/>
      <c r="J72" s="15"/>
      <c r="K72" s="15"/>
      <c r="L72" s="15"/>
      <c r="M72" s="16"/>
      <c r="N72" s="1"/>
      <c r="O72" s="1"/>
      <c r="P72" s="1"/>
    </row>
    <row r="73" spans="1:16" x14ac:dyDescent="0.25">
      <c r="A73" s="13" t="s">
        <v>935</v>
      </c>
      <c r="B73" s="13" t="s">
        <v>936</v>
      </c>
      <c r="C73" s="14" t="s">
        <v>1549</v>
      </c>
      <c r="D73" s="14" t="s">
        <v>1556</v>
      </c>
      <c r="E73" s="13" t="s">
        <v>180</v>
      </c>
      <c r="F73" s="13" t="s">
        <v>80</v>
      </c>
      <c r="G73" s="21">
        <v>43206</v>
      </c>
      <c r="H73" s="14" t="s">
        <v>74</v>
      </c>
      <c r="I73" s="36"/>
      <c r="J73" s="15"/>
      <c r="K73" s="15"/>
      <c r="L73" s="15"/>
      <c r="M73" s="16"/>
      <c r="N73" s="1"/>
      <c r="O73" s="1"/>
      <c r="P73" s="1"/>
    </row>
    <row r="74" spans="1:16" x14ac:dyDescent="0.25">
      <c r="A74" s="13" t="s">
        <v>1306</v>
      </c>
      <c r="B74" s="13" t="s">
        <v>1430</v>
      </c>
      <c r="C74" s="14" t="s">
        <v>1549</v>
      </c>
      <c r="D74" s="14" t="s">
        <v>1556</v>
      </c>
      <c r="E74" s="13" t="s">
        <v>65</v>
      </c>
      <c r="F74" s="13" t="s">
        <v>55</v>
      </c>
      <c r="G74" s="21">
        <v>43416</v>
      </c>
      <c r="H74" s="14" t="s">
        <v>74</v>
      </c>
      <c r="I74" s="36"/>
      <c r="J74" s="15"/>
      <c r="K74" s="15"/>
      <c r="L74" s="15"/>
      <c r="M74" s="16"/>
      <c r="N74" s="1"/>
      <c r="O74" s="1"/>
      <c r="P74" s="1"/>
    </row>
    <row r="75" spans="1:16" x14ac:dyDescent="0.25">
      <c r="A75" s="13" t="s">
        <v>1087</v>
      </c>
      <c r="B75" s="13" t="s">
        <v>1088</v>
      </c>
      <c r="C75" s="14" t="s">
        <v>1549</v>
      </c>
      <c r="D75" s="14" t="s">
        <v>1556</v>
      </c>
      <c r="E75" s="13" t="s">
        <v>1089</v>
      </c>
      <c r="F75" s="13" t="s">
        <v>55</v>
      </c>
      <c r="G75" s="21">
        <v>43278</v>
      </c>
      <c r="H75" s="14" t="s">
        <v>74</v>
      </c>
      <c r="I75" s="36"/>
      <c r="J75" s="15"/>
      <c r="K75" s="15"/>
      <c r="L75" s="15"/>
      <c r="M75" s="16"/>
      <c r="N75" s="1"/>
      <c r="O75" s="1"/>
      <c r="P75" s="1"/>
    </row>
    <row r="76" spans="1:16" x14ac:dyDescent="0.25">
      <c r="A76" s="13" t="s">
        <v>969</v>
      </c>
      <c r="B76" s="13" t="s">
        <v>970</v>
      </c>
      <c r="C76" s="14" t="s">
        <v>1549</v>
      </c>
      <c r="D76" s="14" t="s">
        <v>1556</v>
      </c>
      <c r="E76" s="13" t="s">
        <v>776</v>
      </c>
      <c r="F76" s="13" t="s">
        <v>80</v>
      </c>
      <c r="G76" s="21">
        <v>43227</v>
      </c>
      <c r="H76" s="14" t="s">
        <v>74</v>
      </c>
      <c r="I76" s="36"/>
      <c r="J76" s="15"/>
      <c r="K76" s="15"/>
      <c r="L76" s="15"/>
      <c r="M76" s="16"/>
      <c r="N76" s="1"/>
      <c r="O76" s="1"/>
      <c r="P76" s="1"/>
    </row>
    <row r="77" spans="1:16" x14ac:dyDescent="0.25">
      <c r="A77" s="13" t="s">
        <v>887</v>
      </c>
      <c r="B77" s="13" t="s">
        <v>888</v>
      </c>
      <c r="C77" s="14" t="s">
        <v>1549</v>
      </c>
      <c r="D77" s="14" t="s">
        <v>75</v>
      </c>
      <c r="E77" s="13" t="s">
        <v>365</v>
      </c>
      <c r="F77" s="13" t="s">
        <v>12</v>
      </c>
      <c r="G77" s="21">
        <v>43160</v>
      </c>
      <c r="H77" s="14" t="s">
        <v>267</v>
      </c>
      <c r="I77" s="36"/>
      <c r="J77" s="15"/>
      <c r="K77" s="15"/>
      <c r="L77" s="15"/>
      <c r="M77" s="16"/>
      <c r="N77" s="1"/>
      <c r="O77" s="1"/>
      <c r="P77" s="1"/>
    </row>
    <row r="78" spans="1:16" x14ac:dyDescent="0.25">
      <c r="A78" s="13" t="s">
        <v>1340</v>
      </c>
      <c r="B78" s="13" t="s">
        <v>1559</v>
      </c>
      <c r="C78" s="14" t="s">
        <v>1549</v>
      </c>
      <c r="D78" s="14" t="s">
        <v>75</v>
      </c>
      <c r="E78" s="13" t="s">
        <v>809</v>
      </c>
      <c r="F78" s="13" t="s">
        <v>55</v>
      </c>
      <c r="G78" s="21">
        <v>43242</v>
      </c>
      <c r="H78" s="14" t="s">
        <v>563</v>
      </c>
      <c r="I78" s="36"/>
      <c r="J78" s="15"/>
      <c r="K78" s="15"/>
      <c r="L78" s="15"/>
      <c r="M78" s="16"/>
      <c r="N78" s="1"/>
      <c r="O78" s="1"/>
      <c r="P78" s="1"/>
    </row>
    <row r="79" spans="1:16" x14ac:dyDescent="0.25">
      <c r="A79" s="13" t="s">
        <v>560</v>
      </c>
      <c r="B79" s="13" t="s">
        <v>561</v>
      </c>
      <c r="C79" s="14" t="s">
        <v>1549</v>
      </c>
      <c r="D79" s="14" t="s">
        <v>75</v>
      </c>
      <c r="E79" s="13" t="s">
        <v>562</v>
      </c>
      <c r="F79" s="13" t="s">
        <v>93</v>
      </c>
      <c r="G79" s="21">
        <v>42653</v>
      </c>
      <c r="H79" s="14" t="s">
        <v>563</v>
      </c>
      <c r="I79" s="36"/>
      <c r="J79" s="15"/>
      <c r="K79" s="15"/>
      <c r="L79" s="15"/>
      <c r="M79" s="16"/>
      <c r="N79" s="1"/>
      <c r="O79" s="1"/>
      <c r="P79" s="1"/>
    </row>
    <row r="80" spans="1:16" x14ac:dyDescent="0.25">
      <c r="A80" s="13" t="s">
        <v>821</v>
      </c>
      <c r="B80" s="13" t="s">
        <v>563</v>
      </c>
      <c r="C80" s="14" t="s">
        <v>1549</v>
      </c>
      <c r="D80" s="14" t="s">
        <v>75</v>
      </c>
      <c r="E80" s="13" t="s">
        <v>822</v>
      </c>
      <c r="F80" s="13" t="s">
        <v>56</v>
      </c>
      <c r="G80" s="21">
        <v>43005</v>
      </c>
      <c r="H80" s="14" t="s">
        <v>267</v>
      </c>
      <c r="I80" s="36"/>
      <c r="J80" s="15"/>
      <c r="K80" s="15"/>
      <c r="L80" s="15"/>
      <c r="M80" s="16"/>
      <c r="N80" s="1"/>
      <c r="O80" s="1"/>
      <c r="P80" s="1"/>
    </row>
    <row r="81" spans="1:16" x14ac:dyDescent="0.25">
      <c r="A81" s="13" t="s">
        <v>885</v>
      </c>
      <c r="B81" s="13" t="s">
        <v>886</v>
      </c>
      <c r="C81" s="14" t="s">
        <v>1549</v>
      </c>
      <c r="D81" s="14" t="s">
        <v>75</v>
      </c>
      <c r="E81" s="13" t="s">
        <v>562</v>
      </c>
      <c r="F81" s="13" t="s">
        <v>55</v>
      </c>
      <c r="G81" s="21">
        <v>43157</v>
      </c>
      <c r="H81" s="14" t="s">
        <v>563</v>
      </c>
      <c r="I81" s="36"/>
      <c r="J81" s="15"/>
      <c r="K81" s="15"/>
      <c r="L81" s="15"/>
      <c r="M81" s="16"/>
      <c r="N81" s="1"/>
      <c r="O81" s="1"/>
      <c r="P81" s="1"/>
    </row>
    <row r="82" spans="1:16" x14ac:dyDescent="0.25">
      <c r="A82" s="13" t="s">
        <v>797</v>
      </c>
      <c r="B82" s="13" t="s">
        <v>798</v>
      </c>
      <c r="C82" s="14" t="s">
        <v>1549</v>
      </c>
      <c r="D82" s="14" t="s">
        <v>75</v>
      </c>
      <c r="E82" s="13" t="s">
        <v>530</v>
      </c>
      <c r="F82" s="13" t="s">
        <v>80</v>
      </c>
      <c r="G82" s="21">
        <v>42984</v>
      </c>
      <c r="H82" s="14" t="s">
        <v>267</v>
      </c>
      <c r="I82" s="36"/>
      <c r="J82" s="15"/>
      <c r="K82" s="15"/>
      <c r="L82" s="15"/>
      <c r="M82" s="16"/>
      <c r="N82" s="1"/>
      <c r="O82" s="1"/>
      <c r="P82" s="1"/>
    </row>
    <row r="83" spans="1:16" x14ac:dyDescent="0.25">
      <c r="A83" s="13" t="s">
        <v>835</v>
      </c>
      <c r="B83" s="13" t="s">
        <v>836</v>
      </c>
      <c r="C83" s="14" t="s">
        <v>1549</v>
      </c>
      <c r="D83" s="14" t="s">
        <v>75</v>
      </c>
      <c r="E83" s="13" t="s">
        <v>837</v>
      </c>
      <c r="F83" s="13" t="s">
        <v>80</v>
      </c>
      <c r="G83" s="21">
        <v>43031</v>
      </c>
      <c r="H83" s="14" t="s">
        <v>267</v>
      </c>
      <c r="I83" s="36"/>
      <c r="J83" s="15"/>
      <c r="K83" s="15"/>
      <c r="L83" s="15"/>
      <c r="M83" s="16"/>
      <c r="N83" s="1"/>
      <c r="O83" s="1"/>
      <c r="P83" s="1"/>
    </row>
    <row r="84" spans="1:16" x14ac:dyDescent="0.25">
      <c r="A84" s="13" t="s">
        <v>1067</v>
      </c>
      <c r="B84" s="13" t="s">
        <v>1068</v>
      </c>
      <c r="C84" s="14" t="s">
        <v>1549</v>
      </c>
      <c r="D84" s="14" t="s">
        <v>75</v>
      </c>
      <c r="E84" s="13" t="s">
        <v>530</v>
      </c>
      <c r="F84" s="13" t="s">
        <v>80</v>
      </c>
      <c r="G84" s="21">
        <v>43270</v>
      </c>
      <c r="H84" s="14" t="s">
        <v>267</v>
      </c>
      <c r="I84" s="36"/>
      <c r="J84" s="15"/>
      <c r="K84" s="15"/>
      <c r="L84" s="15"/>
      <c r="M84" s="16"/>
      <c r="N84" s="1"/>
      <c r="O84" s="1"/>
      <c r="P84" s="1"/>
    </row>
    <row r="85" spans="1:16" x14ac:dyDescent="0.25">
      <c r="A85" s="13" t="s">
        <v>1285</v>
      </c>
      <c r="B85" s="13" t="s">
        <v>1286</v>
      </c>
      <c r="C85" s="14" t="s">
        <v>1549</v>
      </c>
      <c r="D85" s="14" t="s">
        <v>75</v>
      </c>
      <c r="E85" s="13" t="s">
        <v>530</v>
      </c>
      <c r="F85" s="13" t="s">
        <v>12</v>
      </c>
      <c r="G85" s="21">
        <v>43402</v>
      </c>
      <c r="H85" s="14" t="s">
        <v>267</v>
      </c>
      <c r="I85" s="36"/>
      <c r="J85" s="15"/>
      <c r="K85" s="15"/>
      <c r="L85" s="15"/>
      <c r="M85" s="16"/>
      <c r="N85" s="1"/>
      <c r="O85" s="1"/>
      <c r="P85" s="1"/>
    </row>
    <row r="86" spans="1:16" x14ac:dyDescent="0.25">
      <c r="A86" s="13" t="s">
        <v>1202</v>
      </c>
      <c r="B86" s="13" t="s">
        <v>267</v>
      </c>
      <c r="C86" s="14" t="s">
        <v>1549</v>
      </c>
      <c r="D86" s="14" t="s">
        <v>75</v>
      </c>
      <c r="E86" s="13" t="s">
        <v>76</v>
      </c>
      <c r="F86" s="13" t="s">
        <v>47</v>
      </c>
      <c r="G86" s="21">
        <v>43361</v>
      </c>
      <c r="H86" s="14" t="s">
        <v>74</v>
      </c>
      <c r="I86" s="36"/>
      <c r="J86" s="15"/>
      <c r="K86" s="15"/>
      <c r="L86" s="15"/>
      <c r="M86" s="16"/>
      <c r="N86" s="1"/>
      <c r="O86" s="1"/>
      <c r="P86" s="1"/>
    </row>
    <row r="87" spans="1:16" x14ac:dyDescent="0.25">
      <c r="A87" s="13" t="s">
        <v>105</v>
      </c>
      <c r="B87" s="13" t="s">
        <v>106</v>
      </c>
      <c r="C87" s="14" t="s">
        <v>1549</v>
      </c>
      <c r="D87" s="14" t="s">
        <v>107</v>
      </c>
      <c r="E87" s="13" t="s">
        <v>108</v>
      </c>
      <c r="F87" s="13" t="s">
        <v>80</v>
      </c>
      <c r="G87" s="21">
        <v>41953</v>
      </c>
      <c r="H87" s="14" t="s">
        <v>109</v>
      </c>
      <c r="I87" s="36"/>
      <c r="J87" s="15"/>
      <c r="K87" s="15"/>
      <c r="L87" s="15"/>
      <c r="M87" s="16"/>
      <c r="N87" s="1"/>
      <c r="O87" s="1"/>
      <c r="P87" s="1"/>
    </row>
    <row r="88" spans="1:16" x14ac:dyDescent="0.25">
      <c r="A88" s="13" t="s">
        <v>346</v>
      </c>
      <c r="B88" s="13" t="s">
        <v>347</v>
      </c>
      <c r="C88" s="14" t="s">
        <v>1549</v>
      </c>
      <c r="D88" s="14" t="s">
        <v>107</v>
      </c>
      <c r="E88" s="13" t="s">
        <v>108</v>
      </c>
      <c r="F88" s="13" t="s">
        <v>93</v>
      </c>
      <c r="G88" s="21">
        <v>42485</v>
      </c>
      <c r="H88" s="14" t="s">
        <v>109</v>
      </c>
      <c r="I88" s="36"/>
      <c r="J88" s="15"/>
      <c r="K88" s="15"/>
      <c r="L88" s="15"/>
      <c r="M88" s="16"/>
      <c r="N88" s="1"/>
      <c r="O88" s="1"/>
      <c r="P88" s="1"/>
    </row>
    <row r="89" spans="1:16" x14ac:dyDescent="0.25">
      <c r="A89" s="13" t="s">
        <v>707</v>
      </c>
      <c r="B89" s="13" t="s">
        <v>708</v>
      </c>
      <c r="C89" s="14" t="s">
        <v>1549</v>
      </c>
      <c r="D89" s="14" t="s">
        <v>107</v>
      </c>
      <c r="E89" s="13" t="s">
        <v>108</v>
      </c>
      <c r="F89" s="13" t="s">
        <v>80</v>
      </c>
      <c r="G89" s="21">
        <v>42835</v>
      </c>
      <c r="H89" s="14" t="s">
        <v>109</v>
      </c>
      <c r="I89" s="36"/>
      <c r="J89" s="15"/>
      <c r="K89" s="15"/>
      <c r="L89" s="15"/>
      <c r="M89" s="16"/>
      <c r="N89" s="1"/>
      <c r="O89" s="1"/>
      <c r="P89" s="1"/>
    </row>
    <row r="90" spans="1:16" x14ac:dyDescent="0.25">
      <c r="A90" s="13" t="s">
        <v>280</v>
      </c>
      <c r="B90" s="13" t="s">
        <v>281</v>
      </c>
      <c r="C90" s="14" t="s">
        <v>1549</v>
      </c>
      <c r="D90" s="14" t="s">
        <v>107</v>
      </c>
      <c r="E90" s="13" t="s">
        <v>282</v>
      </c>
      <c r="F90" s="13" t="s">
        <v>80</v>
      </c>
      <c r="G90" s="21">
        <v>42424</v>
      </c>
      <c r="H90" s="14" t="s">
        <v>109</v>
      </c>
      <c r="I90" s="36"/>
      <c r="J90" s="15"/>
      <c r="K90" s="15"/>
      <c r="L90" s="15"/>
      <c r="M90" s="16"/>
      <c r="N90" s="1"/>
      <c r="O90" s="1"/>
      <c r="P90" s="1"/>
    </row>
    <row r="91" spans="1:16" x14ac:dyDescent="0.25">
      <c r="A91" s="13" t="s">
        <v>583</v>
      </c>
      <c r="B91" s="13" t="s">
        <v>584</v>
      </c>
      <c r="C91" s="14" t="s">
        <v>1549</v>
      </c>
      <c r="D91" s="14" t="s">
        <v>107</v>
      </c>
      <c r="E91" s="13" t="s">
        <v>108</v>
      </c>
      <c r="F91" s="13" t="s">
        <v>80</v>
      </c>
      <c r="G91" s="21">
        <v>42676</v>
      </c>
      <c r="H91" s="14" t="s">
        <v>281</v>
      </c>
      <c r="I91" s="36"/>
      <c r="J91" s="15"/>
      <c r="K91" s="15"/>
      <c r="L91" s="15"/>
      <c r="M91" s="16"/>
      <c r="N91" s="1"/>
      <c r="O91" s="1"/>
      <c r="P91" s="1"/>
    </row>
    <row r="92" spans="1:16" x14ac:dyDescent="0.25">
      <c r="A92" s="13" t="s">
        <v>724</v>
      </c>
      <c r="B92" s="13" t="s">
        <v>725</v>
      </c>
      <c r="C92" s="14" t="s">
        <v>1549</v>
      </c>
      <c r="D92" s="14" t="s">
        <v>107</v>
      </c>
      <c r="E92" s="13" t="s">
        <v>108</v>
      </c>
      <c r="F92" s="13" t="s">
        <v>80</v>
      </c>
      <c r="G92" s="21">
        <v>42858</v>
      </c>
      <c r="H92" s="14" t="s">
        <v>281</v>
      </c>
      <c r="I92" s="36"/>
      <c r="J92" s="15"/>
      <c r="K92" s="15"/>
      <c r="L92" s="15"/>
      <c r="M92" s="16"/>
      <c r="N92" s="1"/>
      <c r="O92" s="1"/>
      <c r="P92" s="1"/>
    </row>
    <row r="93" spans="1:16" x14ac:dyDescent="0.25">
      <c r="A93" s="13" t="s">
        <v>965</v>
      </c>
      <c r="B93" s="13" t="s">
        <v>966</v>
      </c>
      <c r="C93" s="14" t="s">
        <v>1549</v>
      </c>
      <c r="D93" s="14" t="s">
        <v>107</v>
      </c>
      <c r="E93" s="13" t="s">
        <v>108</v>
      </c>
      <c r="F93" s="13" t="s">
        <v>56</v>
      </c>
      <c r="G93" s="21">
        <v>43222</v>
      </c>
      <c r="H93" s="14" t="s">
        <v>281</v>
      </c>
      <c r="I93" s="36"/>
      <c r="J93" s="15"/>
      <c r="K93" s="15"/>
      <c r="L93" s="15"/>
      <c r="M93" s="16"/>
      <c r="N93" s="1"/>
      <c r="O93" s="1"/>
      <c r="P93" s="1"/>
    </row>
    <row r="94" spans="1:16" x14ac:dyDescent="0.25">
      <c r="A94" s="13" t="s">
        <v>1075</v>
      </c>
      <c r="B94" s="13" t="s">
        <v>1076</v>
      </c>
      <c r="C94" s="14" t="s">
        <v>1549</v>
      </c>
      <c r="D94" s="14" t="s">
        <v>107</v>
      </c>
      <c r="E94" s="13" t="s">
        <v>108</v>
      </c>
      <c r="F94" s="13" t="s">
        <v>80</v>
      </c>
      <c r="G94" s="21">
        <v>43271</v>
      </c>
      <c r="H94" s="14" t="s">
        <v>281</v>
      </c>
      <c r="I94" s="36"/>
      <c r="J94" s="15"/>
      <c r="K94" s="15"/>
      <c r="L94" s="15"/>
      <c r="M94" s="16"/>
      <c r="N94" s="1"/>
      <c r="O94" s="1"/>
      <c r="P94" s="1"/>
    </row>
    <row r="95" spans="1:16" x14ac:dyDescent="0.25">
      <c r="A95" s="13" t="s">
        <v>606</v>
      </c>
      <c r="B95" s="13" t="s">
        <v>607</v>
      </c>
      <c r="C95" s="14" t="s">
        <v>1549</v>
      </c>
      <c r="D95" s="14" t="s">
        <v>107</v>
      </c>
      <c r="E95" s="13" t="s">
        <v>608</v>
      </c>
      <c r="F95" s="13" t="s">
        <v>12</v>
      </c>
      <c r="G95" s="21">
        <v>42695</v>
      </c>
      <c r="H95" s="14" t="s">
        <v>109</v>
      </c>
      <c r="I95" s="36"/>
      <c r="J95" s="15"/>
      <c r="K95" s="15"/>
      <c r="L95" s="15"/>
      <c r="M95" s="16"/>
      <c r="N95" s="1"/>
      <c r="O95" s="1"/>
      <c r="P95" s="1"/>
    </row>
    <row r="96" spans="1:16" x14ac:dyDescent="0.25">
      <c r="A96" s="13" t="s">
        <v>997</v>
      </c>
      <c r="B96" s="13" t="s">
        <v>998</v>
      </c>
      <c r="C96" s="14" t="s">
        <v>1549</v>
      </c>
      <c r="D96" s="14" t="s">
        <v>107</v>
      </c>
      <c r="E96" s="13" t="s">
        <v>864</v>
      </c>
      <c r="F96" s="13" t="s">
        <v>12</v>
      </c>
      <c r="G96" s="21">
        <v>43241</v>
      </c>
      <c r="H96" s="14" t="s">
        <v>607</v>
      </c>
      <c r="I96" s="36"/>
      <c r="J96" s="15"/>
      <c r="K96" s="15"/>
      <c r="L96" s="15"/>
      <c r="M96" s="16"/>
      <c r="N96" s="1"/>
      <c r="O96" s="1"/>
      <c r="P96" s="1"/>
    </row>
    <row r="97" spans="1:16" x14ac:dyDescent="0.25">
      <c r="A97" s="13" t="s">
        <v>370</v>
      </c>
      <c r="B97" s="13" t="s">
        <v>109</v>
      </c>
      <c r="C97" s="14" t="s">
        <v>1549</v>
      </c>
      <c r="D97" s="14" t="s">
        <v>107</v>
      </c>
      <c r="E97" s="13" t="s">
        <v>371</v>
      </c>
      <c r="F97" s="13" t="s">
        <v>47</v>
      </c>
      <c r="G97" s="21">
        <v>42499</v>
      </c>
      <c r="H97" s="14" t="s">
        <v>74</v>
      </c>
      <c r="I97" s="36"/>
      <c r="J97" s="15"/>
      <c r="K97" s="15"/>
      <c r="L97" s="15"/>
      <c r="M97" s="16"/>
      <c r="N97" s="1"/>
      <c r="O97" s="1"/>
      <c r="P97" s="1"/>
    </row>
    <row r="98" spans="1:16" x14ac:dyDescent="0.25">
      <c r="A98" s="13" t="s">
        <v>845</v>
      </c>
      <c r="B98" s="13" t="s">
        <v>846</v>
      </c>
      <c r="C98" s="14" t="s">
        <v>1549</v>
      </c>
      <c r="D98" s="14" t="s">
        <v>1550</v>
      </c>
      <c r="E98" s="13" t="s">
        <v>847</v>
      </c>
      <c r="F98" s="13" t="s">
        <v>12</v>
      </c>
      <c r="G98" s="21">
        <v>43031</v>
      </c>
      <c r="H98" s="14" t="s">
        <v>69</v>
      </c>
      <c r="I98" s="36"/>
      <c r="J98" s="15"/>
      <c r="K98" s="15"/>
      <c r="L98" s="15"/>
      <c r="M98" s="16"/>
      <c r="N98" s="1"/>
      <c r="O98" s="1"/>
      <c r="P98" s="1"/>
    </row>
    <row r="99" spans="1:16" x14ac:dyDescent="0.25">
      <c r="A99" s="13" t="s">
        <v>842</v>
      </c>
      <c r="B99" s="13" t="s">
        <v>843</v>
      </c>
      <c r="C99" s="14" t="s">
        <v>1549</v>
      </c>
      <c r="D99" s="14" t="s">
        <v>1550</v>
      </c>
      <c r="E99" s="13" t="s">
        <v>844</v>
      </c>
      <c r="F99" s="13" t="s">
        <v>56</v>
      </c>
      <c r="G99" s="21">
        <v>43031</v>
      </c>
      <c r="H99" s="14" t="s">
        <v>69</v>
      </c>
      <c r="I99" s="36"/>
      <c r="J99" s="15"/>
      <c r="K99" s="15"/>
      <c r="L99" s="15"/>
      <c r="M99" s="16"/>
      <c r="N99" s="1"/>
      <c r="O99" s="1"/>
      <c r="P99" s="1"/>
    </row>
    <row r="100" spans="1:16" x14ac:dyDescent="0.25">
      <c r="A100" s="13" t="s">
        <v>850</v>
      </c>
      <c r="B100" s="13" t="s">
        <v>851</v>
      </c>
      <c r="C100" s="14" t="s">
        <v>1549</v>
      </c>
      <c r="D100" s="14" t="s">
        <v>1550</v>
      </c>
      <c r="E100" s="13" t="s">
        <v>852</v>
      </c>
      <c r="F100" s="13" t="s">
        <v>12</v>
      </c>
      <c r="G100" s="21">
        <v>43040</v>
      </c>
      <c r="H100" s="14" t="s">
        <v>843</v>
      </c>
      <c r="I100" s="36"/>
      <c r="J100" s="15"/>
      <c r="K100" s="15"/>
      <c r="L100" s="15"/>
      <c r="M100" s="16"/>
      <c r="N100" s="1"/>
      <c r="O100" s="1"/>
      <c r="P100" s="1"/>
    </row>
    <row r="101" spans="1:16" x14ac:dyDescent="0.25">
      <c r="A101" s="13" t="s">
        <v>954</v>
      </c>
      <c r="B101" s="13" t="s">
        <v>955</v>
      </c>
      <c r="C101" s="14" t="s">
        <v>1549</v>
      </c>
      <c r="D101" s="14" t="s">
        <v>1550</v>
      </c>
      <c r="E101" s="13" t="s">
        <v>847</v>
      </c>
      <c r="F101" s="13" t="s">
        <v>80</v>
      </c>
      <c r="G101" s="21">
        <v>43215</v>
      </c>
      <c r="H101" s="14" t="s">
        <v>843</v>
      </c>
      <c r="I101" s="36"/>
      <c r="J101" s="15"/>
      <c r="K101" s="15"/>
      <c r="L101" s="15"/>
      <c r="M101" s="16"/>
      <c r="N101" s="1"/>
      <c r="O101" s="1"/>
      <c r="P101" s="1"/>
    </row>
    <row r="102" spans="1:16" x14ac:dyDescent="0.25">
      <c r="A102" s="13" t="s">
        <v>956</v>
      </c>
      <c r="B102" s="13" t="s">
        <v>957</v>
      </c>
      <c r="C102" s="14" t="s">
        <v>1549</v>
      </c>
      <c r="D102" s="14" t="s">
        <v>1550</v>
      </c>
      <c r="E102" s="13" t="s">
        <v>958</v>
      </c>
      <c r="F102" s="13" t="s">
        <v>12</v>
      </c>
      <c r="G102" s="21">
        <v>43222</v>
      </c>
      <c r="H102" s="14" t="s">
        <v>69</v>
      </c>
      <c r="I102" s="36"/>
      <c r="J102" s="15"/>
      <c r="K102" s="15"/>
      <c r="L102" s="15"/>
      <c r="M102" s="16"/>
      <c r="N102" s="1"/>
      <c r="O102" s="1"/>
      <c r="P102" s="1"/>
    </row>
    <row r="103" spans="1:16" x14ac:dyDescent="0.25">
      <c r="A103" s="13" t="s">
        <v>237</v>
      </c>
      <c r="B103" s="13" t="s">
        <v>238</v>
      </c>
      <c r="C103" s="14" t="s">
        <v>1549</v>
      </c>
      <c r="D103" s="14" t="s">
        <v>1560</v>
      </c>
      <c r="E103" s="13" t="s">
        <v>239</v>
      </c>
      <c r="F103" s="13" t="s">
        <v>47</v>
      </c>
      <c r="G103" s="21">
        <v>42327</v>
      </c>
      <c r="H103" s="14" t="s">
        <v>69</v>
      </c>
      <c r="I103" s="36"/>
      <c r="J103" s="15"/>
      <c r="K103" s="15"/>
      <c r="L103" s="15"/>
      <c r="M103" s="16"/>
      <c r="N103" s="1"/>
      <c r="O103" s="1"/>
      <c r="P103" s="1"/>
    </row>
    <row r="104" spans="1:16" x14ac:dyDescent="0.25">
      <c r="A104" s="13" t="s">
        <v>1177</v>
      </c>
      <c r="B104" s="13" t="s">
        <v>74</v>
      </c>
      <c r="C104" s="14" t="s">
        <v>1549</v>
      </c>
      <c r="D104" s="14"/>
      <c r="E104" s="13" t="s">
        <v>1178</v>
      </c>
      <c r="F104" s="13" t="s">
        <v>816</v>
      </c>
      <c r="G104" s="21">
        <v>43320</v>
      </c>
      <c r="H104" s="14" t="s">
        <v>69</v>
      </c>
      <c r="I104" s="36"/>
      <c r="J104" s="15"/>
      <c r="K104" s="15"/>
      <c r="L104" s="15"/>
      <c r="M104" s="16"/>
      <c r="N104" s="1"/>
      <c r="O104" s="1"/>
      <c r="P104" s="1"/>
    </row>
    <row r="105" spans="1:16" x14ac:dyDescent="0.25">
      <c r="A105" s="13" t="s">
        <v>94</v>
      </c>
      <c r="B105" s="13" t="s">
        <v>95</v>
      </c>
      <c r="C105" s="14" t="s">
        <v>1549</v>
      </c>
      <c r="D105" s="14" t="s">
        <v>48</v>
      </c>
      <c r="E105" s="13" t="s">
        <v>96</v>
      </c>
      <c r="F105" s="13" t="s">
        <v>56</v>
      </c>
      <c r="G105" s="21">
        <v>41922</v>
      </c>
      <c r="H105" s="14" t="s">
        <v>97</v>
      </c>
      <c r="I105" s="36"/>
      <c r="J105" s="15"/>
      <c r="K105" s="15"/>
      <c r="L105" s="15"/>
      <c r="M105" s="16"/>
      <c r="N105" s="1"/>
      <c r="O105" s="1"/>
      <c r="P105" s="1"/>
    </row>
    <row r="106" spans="1:16" x14ac:dyDescent="0.25">
      <c r="A106" s="13" t="s">
        <v>133</v>
      </c>
      <c r="B106" s="13" t="s">
        <v>104</v>
      </c>
      <c r="C106" s="14" t="s">
        <v>1549</v>
      </c>
      <c r="D106" s="14" t="s">
        <v>72</v>
      </c>
      <c r="E106" s="13" t="s">
        <v>134</v>
      </c>
      <c r="F106" s="13" t="s">
        <v>56</v>
      </c>
      <c r="G106" s="21">
        <v>42066</v>
      </c>
      <c r="H106" s="14" t="s">
        <v>74</v>
      </c>
      <c r="I106" s="36"/>
      <c r="J106" s="15"/>
      <c r="K106" s="15"/>
      <c r="L106" s="15"/>
      <c r="M106" s="16"/>
      <c r="N106" s="1"/>
      <c r="O106" s="1"/>
      <c r="P106" s="1"/>
    </row>
    <row r="107" spans="1:16" x14ac:dyDescent="0.25">
      <c r="A107" s="13" t="s">
        <v>214</v>
      </c>
      <c r="B107" s="13" t="s">
        <v>215</v>
      </c>
      <c r="C107" s="14" t="s">
        <v>1549</v>
      </c>
      <c r="D107" s="14" t="s">
        <v>72</v>
      </c>
      <c r="E107" s="13" t="s">
        <v>108</v>
      </c>
      <c r="F107" s="13" t="s">
        <v>12</v>
      </c>
      <c r="G107" s="21">
        <v>42309</v>
      </c>
      <c r="H107" s="14" t="s">
        <v>74</v>
      </c>
      <c r="I107" s="36"/>
      <c r="J107" s="15"/>
      <c r="K107" s="15"/>
      <c r="L107" s="15"/>
      <c r="M107" s="16"/>
      <c r="N107" s="1"/>
      <c r="O107" s="1"/>
      <c r="P107" s="1"/>
    </row>
    <row r="108" spans="1:16" x14ac:dyDescent="0.25">
      <c r="A108" s="13" t="s">
        <v>257</v>
      </c>
      <c r="B108" s="13" t="s">
        <v>258</v>
      </c>
      <c r="C108" s="14" t="s">
        <v>1549</v>
      </c>
      <c r="D108" s="14"/>
      <c r="E108" s="13" t="s">
        <v>259</v>
      </c>
      <c r="F108" s="13" t="s">
        <v>80</v>
      </c>
      <c r="G108" s="21">
        <v>42348</v>
      </c>
      <c r="H108" s="14" t="s">
        <v>74</v>
      </c>
      <c r="I108" s="36"/>
      <c r="J108" s="15"/>
      <c r="K108" s="15"/>
      <c r="L108" s="15"/>
      <c r="M108" s="16"/>
      <c r="N108" s="1"/>
      <c r="O108" s="1"/>
      <c r="P108" s="1"/>
    </row>
    <row r="109" spans="1:16" x14ac:dyDescent="0.25">
      <c r="A109" s="13" t="s">
        <v>264</v>
      </c>
      <c r="B109" s="13" t="s">
        <v>265</v>
      </c>
      <c r="C109" s="14" t="s">
        <v>1549</v>
      </c>
      <c r="D109" s="14" t="s">
        <v>75</v>
      </c>
      <c r="E109" s="13" t="s">
        <v>266</v>
      </c>
      <c r="F109" s="13" t="s">
        <v>56</v>
      </c>
      <c r="G109" s="21">
        <v>42375</v>
      </c>
      <c r="H109" s="14" t="s">
        <v>267</v>
      </c>
      <c r="I109" s="36"/>
      <c r="J109" s="15"/>
      <c r="K109" s="15"/>
      <c r="L109" s="15"/>
      <c r="M109" s="16"/>
      <c r="N109" s="1"/>
      <c r="O109" s="1"/>
      <c r="P109" s="1"/>
    </row>
    <row r="110" spans="1:16" x14ac:dyDescent="0.25">
      <c r="A110" s="13" t="s">
        <v>350</v>
      </c>
      <c r="B110" s="13" t="s">
        <v>312</v>
      </c>
      <c r="C110" s="14" t="s">
        <v>1549</v>
      </c>
      <c r="D110" s="14" t="s">
        <v>72</v>
      </c>
      <c r="E110" s="13" t="s">
        <v>351</v>
      </c>
      <c r="F110" s="13" t="s">
        <v>56</v>
      </c>
      <c r="G110" s="21">
        <v>42487</v>
      </c>
      <c r="H110" s="14" t="s">
        <v>74</v>
      </c>
      <c r="I110" s="36"/>
      <c r="J110" s="15"/>
      <c r="K110" s="15"/>
      <c r="L110" s="15"/>
      <c r="M110" s="16"/>
      <c r="N110" s="1"/>
      <c r="O110" s="1"/>
      <c r="P110" s="1"/>
    </row>
    <row r="111" spans="1:16" x14ac:dyDescent="0.25">
      <c r="A111" s="13" t="s">
        <v>390</v>
      </c>
      <c r="B111" s="13" t="s">
        <v>391</v>
      </c>
      <c r="C111" s="14" t="s">
        <v>1549</v>
      </c>
      <c r="D111" s="14"/>
      <c r="E111" s="13" t="s">
        <v>356</v>
      </c>
      <c r="F111" s="13" t="s">
        <v>80</v>
      </c>
      <c r="G111" s="21">
        <v>42515</v>
      </c>
      <c r="H111" s="14" t="s">
        <v>74</v>
      </c>
      <c r="I111" s="36"/>
      <c r="J111" s="15"/>
      <c r="K111" s="15"/>
      <c r="L111" s="15"/>
      <c r="M111" s="16"/>
      <c r="N111" s="1"/>
      <c r="O111" s="1"/>
      <c r="P111" s="1"/>
    </row>
    <row r="112" spans="1:16" x14ac:dyDescent="0.25">
      <c r="A112" s="13" t="s">
        <v>487</v>
      </c>
      <c r="B112" s="13" t="s">
        <v>488</v>
      </c>
      <c r="C112" s="14" t="s">
        <v>1549</v>
      </c>
      <c r="D112" s="14" t="s">
        <v>72</v>
      </c>
      <c r="E112" s="13" t="s">
        <v>108</v>
      </c>
      <c r="F112" s="13" t="s">
        <v>80</v>
      </c>
      <c r="G112" s="21">
        <v>42583</v>
      </c>
      <c r="H112" s="14" t="s">
        <v>74</v>
      </c>
      <c r="I112" s="36"/>
      <c r="J112" s="15"/>
      <c r="K112" s="15"/>
      <c r="L112" s="15"/>
      <c r="M112" s="16"/>
      <c r="N112" s="1"/>
      <c r="O112" s="1"/>
      <c r="P112" s="1"/>
    </row>
    <row r="113" spans="1:16" x14ac:dyDescent="0.25">
      <c r="A113" s="13" t="s">
        <v>507</v>
      </c>
      <c r="B113" s="13" t="s">
        <v>508</v>
      </c>
      <c r="C113" s="14" t="s">
        <v>1549</v>
      </c>
      <c r="D113" s="14" t="s">
        <v>72</v>
      </c>
      <c r="E113" s="13" t="s">
        <v>33</v>
      </c>
      <c r="F113" s="13" t="s">
        <v>55</v>
      </c>
      <c r="G113" s="21">
        <v>42604</v>
      </c>
      <c r="H113" s="14" t="s">
        <v>74</v>
      </c>
      <c r="I113" s="36"/>
      <c r="J113" s="15"/>
      <c r="K113" s="15"/>
      <c r="L113" s="15"/>
      <c r="M113" s="16"/>
      <c r="N113" s="1"/>
      <c r="O113" s="1"/>
      <c r="P113" s="1"/>
    </row>
    <row r="114" spans="1:16" x14ac:dyDescent="0.25">
      <c r="A114" s="13" t="s">
        <v>531</v>
      </c>
      <c r="B114" s="13" t="s">
        <v>532</v>
      </c>
      <c r="C114" s="14" t="s">
        <v>1549</v>
      </c>
      <c r="D114" s="14" t="s">
        <v>72</v>
      </c>
      <c r="E114" s="13" t="s">
        <v>108</v>
      </c>
      <c r="F114" s="13" t="s">
        <v>80</v>
      </c>
      <c r="G114" s="21">
        <v>42625</v>
      </c>
      <c r="H114" s="14" t="s">
        <v>74</v>
      </c>
      <c r="I114" s="36"/>
      <c r="J114" s="15"/>
      <c r="K114" s="15"/>
      <c r="L114" s="15"/>
      <c r="M114" s="16"/>
      <c r="N114" s="1"/>
      <c r="O114" s="1"/>
      <c r="P114" s="1"/>
    </row>
    <row r="115" spans="1:16" x14ac:dyDescent="0.25">
      <c r="A115" s="13" t="s">
        <v>549</v>
      </c>
      <c r="B115" s="13" t="s">
        <v>463</v>
      </c>
      <c r="C115" s="14" t="s">
        <v>1549</v>
      </c>
      <c r="D115" s="14" t="s">
        <v>32</v>
      </c>
      <c r="E115" s="13" t="s">
        <v>550</v>
      </c>
      <c r="F115" s="14" t="s">
        <v>56</v>
      </c>
      <c r="G115" s="29">
        <v>42632</v>
      </c>
      <c r="H115" s="14" t="s">
        <v>446</v>
      </c>
      <c r="I115" s="36"/>
      <c r="J115" s="15"/>
      <c r="K115" s="15"/>
      <c r="L115" s="15"/>
      <c r="M115" s="24"/>
      <c r="N115" s="1"/>
      <c r="O115" s="1"/>
      <c r="P115" s="1"/>
    </row>
    <row r="116" spans="1:16" x14ac:dyDescent="0.25">
      <c r="A116" s="14" t="s">
        <v>627</v>
      </c>
      <c r="B116" s="14" t="s">
        <v>628</v>
      </c>
      <c r="C116" s="14" t="s">
        <v>1549</v>
      </c>
      <c r="D116" s="14" t="s">
        <v>48</v>
      </c>
      <c r="E116" s="14" t="s">
        <v>86</v>
      </c>
      <c r="F116" s="14" t="s">
        <v>12</v>
      </c>
      <c r="G116" s="29">
        <v>42712</v>
      </c>
      <c r="H116" s="14" t="s">
        <v>87</v>
      </c>
      <c r="I116" s="36"/>
      <c r="J116" s="15"/>
      <c r="K116" s="15"/>
      <c r="L116" s="15"/>
      <c r="M116" s="24"/>
      <c r="N116" s="1"/>
      <c r="O116" s="1"/>
      <c r="P116" s="1"/>
    </row>
    <row r="117" spans="1:16" x14ac:dyDescent="0.25">
      <c r="A117" s="14" t="s">
        <v>795</v>
      </c>
      <c r="B117" s="14" t="s">
        <v>796</v>
      </c>
      <c r="C117" s="14" t="s">
        <v>1549</v>
      </c>
      <c r="D117" s="14" t="s">
        <v>72</v>
      </c>
      <c r="E117" s="14" t="s">
        <v>108</v>
      </c>
      <c r="F117" s="14" t="s">
        <v>12</v>
      </c>
      <c r="G117" s="29">
        <v>42979</v>
      </c>
      <c r="H117" s="14" t="s">
        <v>74</v>
      </c>
      <c r="I117" s="36"/>
      <c r="J117" s="15"/>
      <c r="K117" s="15"/>
      <c r="L117" s="15"/>
      <c r="M117" s="24"/>
      <c r="N117" s="1"/>
      <c r="O117" s="1"/>
      <c r="P117" s="1"/>
    </row>
    <row r="118" spans="1:16" x14ac:dyDescent="0.25">
      <c r="A118" s="14" t="s">
        <v>803</v>
      </c>
      <c r="B118" s="14" t="s">
        <v>366</v>
      </c>
      <c r="C118" s="14" t="s">
        <v>1549</v>
      </c>
      <c r="D118" s="14" t="s">
        <v>75</v>
      </c>
      <c r="E118" s="14" t="s">
        <v>804</v>
      </c>
      <c r="F118" s="14" t="s">
        <v>56</v>
      </c>
      <c r="G118" s="29">
        <v>42996</v>
      </c>
      <c r="H118" s="14" t="s">
        <v>267</v>
      </c>
      <c r="I118" s="36"/>
      <c r="J118" s="15"/>
      <c r="K118" s="15"/>
      <c r="L118" s="15"/>
      <c r="M118" s="24"/>
      <c r="N118" s="1"/>
      <c r="O118" s="1"/>
      <c r="P118" s="1"/>
    </row>
    <row r="119" spans="1:16" x14ac:dyDescent="0.25">
      <c r="A119" s="14" t="s">
        <v>862</v>
      </c>
      <c r="B119" s="14" t="s">
        <v>863</v>
      </c>
      <c r="C119" s="14" t="s">
        <v>1549</v>
      </c>
      <c r="D119" s="14" t="s">
        <v>107</v>
      </c>
      <c r="E119" s="14" t="s">
        <v>864</v>
      </c>
      <c r="F119" s="14" t="s">
        <v>125</v>
      </c>
      <c r="G119" s="29">
        <v>43089</v>
      </c>
      <c r="H119" s="14" t="s">
        <v>607</v>
      </c>
      <c r="I119" s="36"/>
      <c r="J119" s="15"/>
      <c r="K119" s="15"/>
      <c r="L119" s="15"/>
      <c r="M119" s="24"/>
      <c r="N119" s="1"/>
      <c r="O119" s="1"/>
      <c r="P119" s="1"/>
    </row>
    <row r="120" spans="1:16" x14ac:dyDescent="0.25">
      <c r="A120" s="14" t="s">
        <v>1326</v>
      </c>
      <c r="B120" s="14" t="s">
        <v>1327</v>
      </c>
      <c r="C120" s="14" t="s">
        <v>1549</v>
      </c>
      <c r="D120" s="14" t="s">
        <v>1550</v>
      </c>
      <c r="E120" s="14" t="s">
        <v>1561</v>
      </c>
      <c r="F120" s="14" t="s">
        <v>80</v>
      </c>
      <c r="G120" s="29">
        <v>43262</v>
      </c>
      <c r="H120" s="14" t="s">
        <v>69</v>
      </c>
      <c r="I120" s="36"/>
      <c r="J120" s="15"/>
      <c r="K120" s="15"/>
      <c r="L120" s="15"/>
      <c r="M120" s="24"/>
      <c r="N120" s="1"/>
      <c r="O120" s="1"/>
      <c r="P120" s="1"/>
    </row>
    <row r="121" spans="1:16" x14ac:dyDescent="0.25">
      <c r="A121" s="14" t="s">
        <v>1411</v>
      </c>
      <c r="B121" s="14" t="s">
        <v>1412</v>
      </c>
      <c r="C121" s="14" t="s">
        <v>1549</v>
      </c>
      <c r="D121" s="14" t="s">
        <v>1550</v>
      </c>
      <c r="E121" s="14" t="s">
        <v>1413</v>
      </c>
      <c r="F121" s="14" t="s">
        <v>56</v>
      </c>
      <c r="G121" s="29">
        <v>43451</v>
      </c>
      <c r="H121" s="14" t="s">
        <v>69</v>
      </c>
      <c r="I121" s="36"/>
      <c r="J121" s="15"/>
      <c r="K121" s="15"/>
      <c r="L121" s="15"/>
      <c r="M121" s="24"/>
      <c r="N121" s="1"/>
      <c r="O121" s="1"/>
      <c r="P121" s="1"/>
    </row>
    <row r="122" spans="1:16" x14ac:dyDescent="0.25">
      <c r="G122" s="32"/>
      <c r="H122" s="1"/>
      <c r="I122" s="40"/>
      <c r="J122" s="9"/>
      <c r="K122" s="9"/>
      <c r="L122" s="9"/>
      <c r="N122" s="1"/>
      <c r="O122" s="1"/>
      <c r="P122" s="1"/>
    </row>
    <row r="123" spans="1:16" x14ac:dyDescent="0.25">
      <c r="J123" s="40"/>
      <c r="K123" s="9"/>
      <c r="L123" s="9"/>
      <c r="O123" s="1"/>
      <c r="P123" s="1"/>
    </row>
  </sheetData>
  <autoFilter ref="A9:W121"/>
  <mergeCells count="1">
    <mergeCell ref="A1:P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"/>
  <sheetViews>
    <sheetView zoomScale="50" zoomScaleNormal="50" workbookViewId="0">
      <pane xSplit="2" ySplit="9" topLeftCell="C19" activePane="bottomRight" state="frozen"/>
      <selection pane="topRight" activeCell="C1" sqref="C1"/>
      <selection pane="bottomLeft" activeCell="A9" sqref="A9"/>
      <selection pane="bottomRight" activeCell="A34" sqref="A33:XFD34"/>
    </sheetView>
  </sheetViews>
  <sheetFormatPr defaultColWidth="11" defaultRowHeight="15.75" x14ac:dyDescent="0.25"/>
  <cols>
    <col min="1" max="6" width="19.5" style="1" customWidth="1"/>
    <col min="7" max="7" width="13.375" style="1" customWidth="1"/>
    <col min="8" max="8" width="14.125" style="1" customWidth="1"/>
    <col min="9" max="9" width="15.125" style="1" customWidth="1"/>
    <col min="10" max="11" width="17.125" style="1" customWidth="1"/>
    <col min="12" max="12" width="18.875" style="40" customWidth="1"/>
    <col min="13" max="13" width="23.375" style="9" customWidth="1"/>
    <col min="14" max="14" width="33.125" style="9" customWidth="1"/>
    <col min="15" max="15" width="22.375" style="9" customWidth="1"/>
    <col min="16" max="16" width="38.5" style="9" customWidth="1"/>
    <col min="17" max="18" width="11" style="1" customWidth="1"/>
    <col min="19" max="16384" width="11" style="1"/>
  </cols>
  <sheetData>
    <row r="1" spans="1:23" ht="54.75" customHeight="1" x14ac:dyDescent="0.4">
      <c r="A1" s="42" t="s">
        <v>1444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23" ht="27.75" hidden="1" x14ac:dyDescent="0.4">
      <c r="A2" s="4" t="s">
        <v>1395</v>
      </c>
      <c r="B2" s="33" t="s">
        <v>1434</v>
      </c>
      <c r="C2" s="2"/>
      <c r="D2" s="2"/>
      <c r="E2" s="2"/>
      <c r="F2" s="2"/>
      <c r="G2" s="2"/>
      <c r="H2" s="2"/>
      <c r="I2" s="2"/>
      <c r="J2" s="2"/>
      <c r="K2" s="30"/>
      <c r="L2" s="39"/>
      <c r="M2" s="3"/>
      <c r="N2" s="3"/>
      <c r="O2" s="3"/>
      <c r="P2" s="3"/>
    </row>
    <row r="3" spans="1:23" ht="27.75" x14ac:dyDescent="0.4">
      <c r="A3" s="4" t="s">
        <v>1381</v>
      </c>
      <c r="B3" s="5"/>
      <c r="C3" s="5"/>
      <c r="D3" s="5"/>
      <c r="E3" s="5"/>
      <c r="F3" s="5"/>
      <c r="G3" s="2"/>
      <c r="H3" s="2"/>
      <c r="I3" s="2"/>
      <c r="J3" s="2"/>
      <c r="K3" s="30"/>
      <c r="L3" s="39"/>
      <c r="M3" s="3"/>
      <c r="N3" s="3"/>
      <c r="O3" s="3"/>
      <c r="P3" s="3"/>
    </row>
    <row r="4" spans="1:23" ht="27.75" x14ac:dyDescent="0.4">
      <c r="A4" s="6" t="s">
        <v>1406</v>
      </c>
      <c r="B4" s="6" t="s">
        <v>1400</v>
      </c>
      <c r="C4" s="6" t="s">
        <v>1396</v>
      </c>
      <c r="D4" s="6" t="s">
        <v>1408</v>
      </c>
      <c r="E4" s="6" t="s">
        <v>1409</v>
      </c>
      <c r="F4" s="6" t="s">
        <v>1410</v>
      </c>
      <c r="G4" s="2"/>
      <c r="H4" s="2"/>
      <c r="I4" s="2"/>
      <c r="J4" s="2"/>
      <c r="K4" s="30"/>
      <c r="L4" s="39"/>
      <c r="M4" s="3"/>
      <c r="N4" s="3"/>
      <c r="O4" s="3"/>
      <c r="P4" s="3"/>
      <c r="S4" s="26"/>
      <c r="T4" s="26"/>
      <c r="U4" s="26"/>
      <c r="V4" s="26"/>
      <c r="W4" s="26"/>
    </row>
    <row r="5" spans="1:23" ht="27.75" x14ac:dyDescent="0.4">
      <c r="A5" s="6" t="s">
        <v>1407</v>
      </c>
      <c r="B5" s="27">
        <f>VLOOKUP(B2,等级分布!A:F,2,0)</f>
        <v>0.1</v>
      </c>
      <c r="C5" s="27">
        <f>VLOOKUP(B2,等级分布!A:F,3,0)</f>
        <v>0.2</v>
      </c>
      <c r="D5" s="27">
        <f>VLOOKUP(B2,等级分布!A:F,4,0)</f>
        <v>0.3</v>
      </c>
      <c r="E5" s="27">
        <f>VLOOKUP(B2,等级分布!A:F,5,0)</f>
        <v>0.2</v>
      </c>
      <c r="F5" s="27">
        <f>VLOOKUP(B2,等级分布!A:F,6,0)</f>
        <v>0.2</v>
      </c>
      <c r="G5" s="2"/>
      <c r="H5" s="2"/>
      <c r="I5" s="2"/>
      <c r="J5" s="2"/>
      <c r="K5" s="30"/>
      <c r="L5" s="39"/>
      <c r="M5" s="3"/>
      <c r="N5" s="3"/>
      <c r="O5" s="3"/>
      <c r="P5" s="3"/>
      <c r="S5" s="26"/>
      <c r="T5" s="26"/>
      <c r="U5" s="26"/>
      <c r="V5" s="26"/>
      <c r="W5" s="26"/>
    </row>
    <row r="6" spans="1:23" ht="27.75" x14ac:dyDescent="0.4">
      <c r="A6" s="6" t="s">
        <v>1382</v>
      </c>
      <c r="B6" s="7"/>
      <c r="C6" s="7"/>
      <c r="D6" s="7"/>
      <c r="E6" s="7"/>
      <c r="F6" s="7"/>
      <c r="G6" s="2"/>
      <c r="H6" s="2"/>
      <c r="I6" s="2"/>
      <c r="J6" s="2"/>
      <c r="K6" s="30"/>
      <c r="L6" s="39"/>
      <c r="M6" s="3"/>
      <c r="N6" s="3"/>
      <c r="O6" s="3"/>
      <c r="P6" s="3"/>
    </row>
    <row r="7" spans="1:23" ht="18" hidden="1" x14ac:dyDescent="0.25">
      <c r="A7" s="6" t="s">
        <v>1383</v>
      </c>
      <c r="B7" s="8" t="str">
        <f>IF(B6&lt;=B5,"是","否")</f>
        <v>是</v>
      </c>
      <c r="C7" s="8" t="str">
        <f>IF(C6&lt;=C5,"是","否")</f>
        <v>是</v>
      </c>
      <c r="D7" s="8" t="str">
        <f>IF(D6&lt;=D5,"是","否")</f>
        <v>是</v>
      </c>
      <c r="E7" s="8" t="str">
        <f>IF(E6&lt;=E5,"是","否")</f>
        <v>是</v>
      </c>
      <c r="F7" s="8" t="str">
        <f>IF(F6&lt;=F5,"是","否")</f>
        <v>是</v>
      </c>
    </row>
    <row r="8" spans="1:23" ht="18" x14ac:dyDescent="0.25">
      <c r="A8" s="10" t="s">
        <v>1442</v>
      </c>
    </row>
    <row r="9" spans="1:23" ht="75" x14ac:dyDescent="0.25">
      <c r="A9" s="11" t="s">
        <v>0</v>
      </c>
      <c r="B9" s="11" t="s">
        <v>1</v>
      </c>
      <c r="C9" s="11" t="s">
        <v>1384</v>
      </c>
      <c r="D9" s="11" t="s">
        <v>1385</v>
      </c>
      <c r="E9" s="11" t="s">
        <v>1386</v>
      </c>
      <c r="F9" s="11" t="s">
        <v>1387</v>
      </c>
      <c r="G9" s="28" t="s">
        <v>1388</v>
      </c>
      <c r="H9" s="11" t="s">
        <v>1389</v>
      </c>
      <c r="I9" s="35" t="s">
        <v>1390</v>
      </c>
      <c r="J9" s="12" t="s">
        <v>1391</v>
      </c>
      <c r="K9" s="12" t="s">
        <v>1392</v>
      </c>
      <c r="L9" s="12" t="s">
        <v>1393</v>
      </c>
      <c r="M9" s="11" t="s">
        <v>1394</v>
      </c>
      <c r="N9" s="1" t="s">
        <v>1438</v>
      </c>
      <c r="O9" s="1"/>
      <c r="P9" s="1"/>
    </row>
    <row r="10" spans="1:23" x14ac:dyDescent="0.25">
      <c r="A10" s="13" t="s">
        <v>25</v>
      </c>
      <c r="B10" s="13" t="s">
        <v>26</v>
      </c>
      <c r="C10" s="14" t="s">
        <v>8</v>
      </c>
      <c r="D10" s="14" t="s">
        <v>27</v>
      </c>
      <c r="E10" s="13" t="s">
        <v>28</v>
      </c>
      <c r="F10" s="13" t="s">
        <v>12</v>
      </c>
      <c r="G10" s="21">
        <v>40603</v>
      </c>
      <c r="H10" s="14" t="s">
        <v>29</v>
      </c>
      <c r="I10" s="36"/>
      <c r="J10" s="15"/>
      <c r="K10" s="15"/>
      <c r="L10" s="15"/>
      <c r="M10" s="16"/>
      <c r="N10" s="1"/>
      <c r="O10" s="1"/>
      <c r="P10" s="1"/>
    </row>
    <row r="11" spans="1:23" x14ac:dyDescent="0.25">
      <c r="A11" s="13" t="s">
        <v>162</v>
      </c>
      <c r="B11" s="13" t="s">
        <v>163</v>
      </c>
      <c r="C11" s="14" t="s">
        <v>8</v>
      </c>
      <c r="D11" s="14" t="s">
        <v>27</v>
      </c>
      <c r="E11" s="13" t="s">
        <v>164</v>
      </c>
      <c r="F11" s="13" t="s">
        <v>55</v>
      </c>
      <c r="G11" s="21">
        <v>42198</v>
      </c>
      <c r="H11" s="14" t="s">
        <v>29</v>
      </c>
      <c r="I11" s="36"/>
      <c r="J11" s="15"/>
      <c r="K11" s="15"/>
      <c r="L11" s="15"/>
      <c r="M11" s="16"/>
      <c r="N11" s="1"/>
      <c r="O11" s="1"/>
      <c r="P11" s="1"/>
    </row>
    <row r="12" spans="1:23" x14ac:dyDescent="0.25">
      <c r="A12" s="13" t="s">
        <v>713</v>
      </c>
      <c r="B12" s="13" t="s">
        <v>714</v>
      </c>
      <c r="C12" s="14" t="s">
        <v>8</v>
      </c>
      <c r="D12" s="14" t="s">
        <v>27</v>
      </c>
      <c r="E12" s="13" t="s">
        <v>524</v>
      </c>
      <c r="F12" s="13" t="s">
        <v>93</v>
      </c>
      <c r="G12" s="21">
        <v>42837</v>
      </c>
      <c r="H12" s="14" t="s">
        <v>29</v>
      </c>
      <c r="I12" s="36"/>
      <c r="J12" s="15"/>
      <c r="K12" s="15"/>
      <c r="L12" s="15"/>
      <c r="M12" s="16"/>
      <c r="N12" s="1"/>
      <c r="O12" s="1"/>
      <c r="P12" s="1"/>
    </row>
    <row r="13" spans="1:23" x14ac:dyDescent="0.25">
      <c r="A13" s="13" t="s">
        <v>732</v>
      </c>
      <c r="B13" s="13" t="s">
        <v>733</v>
      </c>
      <c r="C13" s="14" t="s">
        <v>8</v>
      </c>
      <c r="D13" s="14" t="s">
        <v>27</v>
      </c>
      <c r="E13" s="13" t="s">
        <v>524</v>
      </c>
      <c r="F13" s="13" t="s">
        <v>55</v>
      </c>
      <c r="G13" s="21">
        <v>42863</v>
      </c>
      <c r="H13" s="14" t="s">
        <v>29</v>
      </c>
      <c r="I13" s="36"/>
      <c r="J13" s="15"/>
      <c r="K13" s="15"/>
      <c r="L13" s="15"/>
      <c r="M13" s="16"/>
      <c r="N13" s="1"/>
      <c r="O13" s="1"/>
      <c r="P13" s="1"/>
    </row>
    <row r="14" spans="1:23" x14ac:dyDescent="0.25">
      <c r="A14" s="13" t="s">
        <v>860</v>
      </c>
      <c r="B14" s="13" t="s">
        <v>861</v>
      </c>
      <c r="C14" s="14" t="s">
        <v>8</v>
      </c>
      <c r="D14" s="14" t="s">
        <v>27</v>
      </c>
      <c r="E14" s="13" t="s">
        <v>164</v>
      </c>
      <c r="F14" s="13" t="s">
        <v>93</v>
      </c>
      <c r="G14" s="21">
        <v>43080</v>
      </c>
      <c r="H14" s="14" t="s">
        <v>29</v>
      </c>
      <c r="I14" s="36"/>
      <c r="J14" s="15"/>
      <c r="K14" s="15"/>
      <c r="L14" s="15"/>
      <c r="M14" s="16"/>
      <c r="N14" s="1"/>
      <c r="O14" s="1"/>
      <c r="P14" s="1"/>
    </row>
    <row r="15" spans="1:23" x14ac:dyDescent="0.25">
      <c r="A15" s="13" t="s">
        <v>855</v>
      </c>
      <c r="B15" s="13" t="s">
        <v>856</v>
      </c>
      <c r="C15" s="14" t="s">
        <v>8</v>
      </c>
      <c r="D15" s="14" t="s">
        <v>27</v>
      </c>
      <c r="E15" s="13" t="s">
        <v>857</v>
      </c>
      <c r="F15" s="13" t="s">
        <v>55</v>
      </c>
      <c r="G15" s="21">
        <v>43066</v>
      </c>
      <c r="H15" s="14" t="s">
        <v>780</v>
      </c>
      <c r="I15" s="36"/>
      <c r="J15" s="15"/>
      <c r="K15" s="15"/>
      <c r="L15" s="15"/>
      <c r="M15" s="16"/>
      <c r="N15" s="1"/>
      <c r="O15" s="1"/>
      <c r="P15" s="1"/>
    </row>
    <row r="16" spans="1:23" x14ac:dyDescent="0.25">
      <c r="A16" s="13" t="s">
        <v>1296</v>
      </c>
      <c r="B16" s="13" t="s">
        <v>1297</v>
      </c>
      <c r="C16" s="14" t="s">
        <v>8</v>
      </c>
      <c r="D16" s="14" t="s">
        <v>27</v>
      </c>
      <c r="E16" s="13" t="s">
        <v>1298</v>
      </c>
      <c r="F16" s="13" t="s">
        <v>93</v>
      </c>
      <c r="G16" s="21">
        <v>43409</v>
      </c>
      <c r="H16" s="14" t="s">
        <v>780</v>
      </c>
      <c r="I16" s="36"/>
      <c r="J16" s="15"/>
      <c r="K16" s="15"/>
      <c r="L16" s="15"/>
      <c r="M16" s="16"/>
      <c r="N16" s="1"/>
      <c r="O16" s="1"/>
      <c r="P16" s="1"/>
    </row>
    <row r="17" spans="1:16" x14ac:dyDescent="0.25">
      <c r="A17" s="13" t="s">
        <v>81</v>
      </c>
      <c r="B17" s="13" t="s">
        <v>29</v>
      </c>
      <c r="C17" s="14" t="s">
        <v>8</v>
      </c>
      <c r="D17" s="14" t="s">
        <v>27</v>
      </c>
      <c r="E17" s="13" t="s">
        <v>63</v>
      </c>
      <c r="F17" s="13" t="s">
        <v>47</v>
      </c>
      <c r="G17" s="21">
        <v>41779</v>
      </c>
      <c r="H17" s="14" t="s">
        <v>236</v>
      </c>
      <c r="I17" s="36"/>
      <c r="J17" s="15"/>
      <c r="K17" s="15"/>
      <c r="L17" s="15"/>
      <c r="M17" s="16"/>
      <c r="N17" s="1"/>
      <c r="O17" s="1"/>
      <c r="P17" s="1"/>
    </row>
    <row r="18" spans="1:16" x14ac:dyDescent="0.25">
      <c r="A18" s="13" t="s">
        <v>779</v>
      </c>
      <c r="B18" s="13" t="s">
        <v>780</v>
      </c>
      <c r="C18" s="14" t="s">
        <v>8</v>
      </c>
      <c r="D18" s="14" t="s">
        <v>27</v>
      </c>
      <c r="E18" s="13" t="s">
        <v>781</v>
      </c>
      <c r="F18" s="13" t="s">
        <v>12</v>
      </c>
      <c r="G18" s="21">
        <v>42963</v>
      </c>
      <c r="H18" s="14" t="s">
        <v>29</v>
      </c>
      <c r="I18" s="36"/>
      <c r="J18" s="15"/>
      <c r="K18" s="15"/>
      <c r="L18" s="15"/>
      <c r="M18" s="16"/>
      <c r="N18" s="1"/>
      <c r="O18" s="1"/>
      <c r="P18" s="1"/>
    </row>
    <row r="19" spans="1:16" x14ac:dyDescent="0.25">
      <c r="A19" s="13" t="s">
        <v>684</v>
      </c>
      <c r="B19" s="13" t="s">
        <v>685</v>
      </c>
      <c r="C19" s="14" t="s">
        <v>8</v>
      </c>
      <c r="D19" s="14" t="s">
        <v>9</v>
      </c>
      <c r="E19" s="13" t="s">
        <v>144</v>
      </c>
      <c r="F19" s="13" t="s">
        <v>93</v>
      </c>
      <c r="G19" s="21">
        <v>42800</v>
      </c>
      <c r="H19" s="14" t="s">
        <v>11</v>
      </c>
      <c r="I19" s="36"/>
      <c r="J19" s="15"/>
      <c r="K19" s="15"/>
      <c r="L19" s="15"/>
      <c r="M19" s="16"/>
      <c r="N19" s="1"/>
      <c r="O19" s="1"/>
      <c r="P19" s="1"/>
    </row>
    <row r="20" spans="1:16" x14ac:dyDescent="0.25">
      <c r="A20" s="13" t="s">
        <v>1167</v>
      </c>
      <c r="B20" s="13" t="s">
        <v>1168</v>
      </c>
      <c r="C20" s="14" t="s">
        <v>8</v>
      </c>
      <c r="D20" s="14" t="s">
        <v>9</v>
      </c>
      <c r="E20" s="13" t="s">
        <v>144</v>
      </c>
      <c r="F20" s="13" t="s">
        <v>12</v>
      </c>
      <c r="G20" s="21">
        <v>43313</v>
      </c>
      <c r="H20" s="14" t="s">
        <v>11</v>
      </c>
      <c r="I20" s="36"/>
      <c r="J20" s="15"/>
      <c r="K20" s="15"/>
      <c r="L20" s="15"/>
      <c r="M20" s="16"/>
      <c r="N20" s="1"/>
      <c r="O20" s="1"/>
      <c r="P20" s="1"/>
    </row>
    <row r="21" spans="1:16" x14ac:dyDescent="0.25">
      <c r="A21" s="13" t="s">
        <v>6</v>
      </c>
      <c r="B21" s="13" t="s">
        <v>7</v>
      </c>
      <c r="C21" s="14" t="s">
        <v>8</v>
      </c>
      <c r="D21" s="14" t="s">
        <v>9</v>
      </c>
      <c r="E21" s="13" t="s">
        <v>10</v>
      </c>
      <c r="F21" s="13" t="s">
        <v>12</v>
      </c>
      <c r="G21" s="21">
        <v>39979</v>
      </c>
      <c r="H21" s="14" t="s">
        <v>11</v>
      </c>
      <c r="I21" s="36"/>
      <c r="J21" s="15"/>
      <c r="K21" s="15"/>
      <c r="L21" s="15"/>
      <c r="M21" s="16"/>
      <c r="N21" s="1"/>
      <c r="O21" s="1"/>
      <c r="P21" s="1"/>
    </row>
    <row r="22" spans="1:16" x14ac:dyDescent="0.25">
      <c r="A22" s="13" t="s">
        <v>142</v>
      </c>
      <c r="B22" s="13" t="s">
        <v>143</v>
      </c>
      <c r="C22" s="14" t="s">
        <v>8</v>
      </c>
      <c r="D22" s="14" t="s">
        <v>9</v>
      </c>
      <c r="E22" s="13" t="s">
        <v>144</v>
      </c>
      <c r="F22" s="13" t="s">
        <v>55</v>
      </c>
      <c r="G22" s="21">
        <v>42135</v>
      </c>
      <c r="H22" s="14" t="s">
        <v>11</v>
      </c>
      <c r="I22" s="36"/>
      <c r="J22" s="15"/>
      <c r="K22" s="15"/>
      <c r="L22" s="15"/>
      <c r="M22" s="16"/>
      <c r="N22" s="1"/>
      <c r="O22" s="1"/>
      <c r="P22" s="1"/>
    </row>
    <row r="23" spans="1:16" x14ac:dyDescent="0.25">
      <c r="A23" s="13" t="s">
        <v>456</v>
      </c>
      <c r="B23" s="13" t="s">
        <v>457</v>
      </c>
      <c r="C23" s="14" t="s">
        <v>8</v>
      </c>
      <c r="D23" s="14" t="s">
        <v>9</v>
      </c>
      <c r="E23" s="13" t="s">
        <v>144</v>
      </c>
      <c r="F23" s="13" t="s">
        <v>80</v>
      </c>
      <c r="G23" s="21">
        <v>42566</v>
      </c>
      <c r="H23" s="14" t="s">
        <v>11</v>
      </c>
      <c r="I23" s="36"/>
      <c r="J23" s="34"/>
      <c r="K23" s="15"/>
      <c r="L23" s="15"/>
      <c r="M23" s="16"/>
      <c r="N23" s="1"/>
      <c r="O23" s="1"/>
      <c r="P23" s="1"/>
    </row>
    <row r="24" spans="1:16" x14ac:dyDescent="0.25">
      <c r="A24" s="13" t="s">
        <v>491</v>
      </c>
      <c r="B24" s="13" t="s">
        <v>492</v>
      </c>
      <c r="C24" s="14" t="s">
        <v>8</v>
      </c>
      <c r="D24" s="14" t="s">
        <v>9</v>
      </c>
      <c r="E24" s="13" t="s">
        <v>144</v>
      </c>
      <c r="F24" s="13" t="s">
        <v>93</v>
      </c>
      <c r="G24" s="21">
        <v>42592</v>
      </c>
      <c r="H24" s="14" t="s">
        <v>11</v>
      </c>
      <c r="I24" s="36"/>
      <c r="J24" s="34"/>
      <c r="K24" s="15"/>
      <c r="L24" s="15"/>
      <c r="M24" s="16"/>
      <c r="N24" s="1"/>
      <c r="O24" s="1"/>
      <c r="P24" s="1"/>
    </row>
    <row r="25" spans="1:16" x14ac:dyDescent="0.25">
      <c r="A25" s="13" t="s">
        <v>522</v>
      </c>
      <c r="B25" s="13" t="s">
        <v>523</v>
      </c>
      <c r="C25" s="14" t="s">
        <v>8</v>
      </c>
      <c r="D25" s="14" t="s">
        <v>9</v>
      </c>
      <c r="E25" s="13" t="s">
        <v>144</v>
      </c>
      <c r="F25" s="13" t="s">
        <v>12</v>
      </c>
      <c r="G25" s="21">
        <v>42620</v>
      </c>
      <c r="H25" s="14" t="s">
        <v>11</v>
      </c>
      <c r="I25" s="36"/>
      <c r="J25" s="34"/>
      <c r="K25" s="15"/>
      <c r="L25" s="15"/>
      <c r="M25" s="16"/>
      <c r="N25" s="1"/>
      <c r="O25" s="1"/>
      <c r="P25" s="1"/>
    </row>
    <row r="26" spans="1:16" x14ac:dyDescent="0.25">
      <c r="A26" s="13" t="s">
        <v>678</v>
      </c>
      <c r="B26" s="13" t="s">
        <v>679</v>
      </c>
      <c r="C26" s="14" t="s">
        <v>8</v>
      </c>
      <c r="D26" s="14" t="s">
        <v>9</v>
      </c>
      <c r="E26" s="13" t="s">
        <v>680</v>
      </c>
      <c r="F26" s="13" t="s">
        <v>80</v>
      </c>
      <c r="G26" s="21">
        <v>42795</v>
      </c>
      <c r="H26" s="14" t="s">
        <v>11</v>
      </c>
      <c r="I26" s="36"/>
      <c r="J26" s="15"/>
      <c r="K26" s="15"/>
      <c r="L26" s="15"/>
      <c r="M26" s="16"/>
      <c r="N26" s="1"/>
      <c r="O26" s="1"/>
      <c r="P26" s="1"/>
    </row>
    <row r="27" spans="1:16" x14ac:dyDescent="0.25">
      <c r="A27" s="13" t="s">
        <v>946</v>
      </c>
      <c r="B27" s="13" t="s">
        <v>947</v>
      </c>
      <c r="C27" s="14" t="s">
        <v>8</v>
      </c>
      <c r="D27" s="14" t="s">
        <v>9</v>
      </c>
      <c r="E27" s="13" t="s">
        <v>144</v>
      </c>
      <c r="F27" s="13" t="s">
        <v>80</v>
      </c>
      <c r="G27" s="21">
        <v>43213</v>
      </c>
      <c r="H27" s="14" t="s">
        <v>11</v>
      </c>
      <c r="I27" s="36"/>
      <c r="J27" s="15"/>
      <c r="K27" s="15"/>
      <c r="L27" s="15"/>
      <c r="M27" s="16"/>
      <c r="N27" s="1"/>
      <c r="O27" s="1"/>
      <c r="P27" s="1"/>
    </row>
    <row r="28" spans="1:16" x14ac:dyDescent="0.25">
      <c r="A28" s="13" t="s">
        <v>313</v>
      </c>
      <c r="B28" s="13" t="s">
        <v>314</v>
      </c>
      <c r="C28" s="14" t="s">
        <v>8</v>
      </c>
      <c r="D28" s="14" t="s">
        <v>9</v>
      </c>
      <c r="E28" s="13" t="s">
        <v>315</v>
      </c>
      <c r="F28" s="13" t="s">
        <v>80</v>
      </c>
      <c r="G28" s="21">
        <v>42461</v>
      </c>
      <c r="H28" s="14" t="s">
        <v>269</v>
      </c>
      <c r="I28" s="36"/>
      <c r="J28" s="15"/>
      <c r="K28" s="15"/>
      <c r="L28" s="15"/>
      <c r="M28" s="16"/>
      <c r="N28" s="1"/>
      <c r="O28" s="1"/>
      <c r="P28" s="1"/>
    </row>
    <row r="29" spans="1:16" x14ac:dyDescent="0.25">
      <c r="A29" s="13" t="s">
        <v>519</v>
      </c>
      <c r="B29" s="13" t="s">
        <v>520</v>
      </c>
      <c r="C29" s="14" t="s">
        <v>8</v>
      </c>
      <c r="D29" s="14" t="s">
        <v>9</v>
      </c>
      <c r="E29" s="13" t="s">
        <v>521</v>
      </c>
      <c r="F29" s="13" t="s">
        <v>56</v>
      </c>
      <c r="G29" s="21">
        <v>42620</v>
      </c>
      <c r="H29" s="14" t="s">
        <v>269</v>
      </c>
      <c r="I29" s="36"/>
      <c r="J29" s="15"/>
      <c r="K29" s="15"/>
      <c r="L29" s="15"/>
      <c r="M29" s="16"/>
      <c r="N29" s="1"/>
      <c r="O29" s="1"/>
      <c r="P29" s="1"/>
    </row>
    <row r="30" spans="1:16" x14ac:dyDescent="0.25">
      <c r="A30" s="13" t="s">
        <v>643</v>
      </c>
      <c r="B30" s="13" t="s">
        <v>644</v>
      </c>
      <c r="C30" s="14" t="s">
        <v>8</v>
      </c>
      <c r="D30" s="14" t="s">
        <v>9</v>
      </c>
      <c r="E30" s="13" t="s">
        <v>645</v>
      </c>
      <c r="F30" s="13" t="s">
        <v>56</v>
      </c>
      <c r="G30" s="21">
        <v>42730</v>
      </c>
      <c r="H30" s="14" t="s">
        <v>269</v>
      </c>
      <c r="I30" s="36"/>
      <c r="J30" s="15"/>
      <c r="K30" s="15"/>
      <c r="L30" s="15"/>
      <c r="M30" s="16"/>
      <c r="N30" s="1"/>
      <c r="O30" s="1"/>
      <c r="P30" s="1"/>
    </row>
    <row r="31" spans="1:16" x14ac:dyDescent="0.25">
      <c r="A31" s="13" t="s">
        <v>1030</v>
      </c>
      <c r="B31" s="13" t="s">
        <v>1031</v>
      </c>
      <c r="C31" s="14" t="s">
        <v>8</v>
      </c>
      <c r="D31" s="14" t="s">
        <v>9</v>
      </c>
      <c r="E31" s="13" t="s">
        <v>315</v>
      </c>
      <c r="F31" s="13" t="s">
        <v>12</v>
      </c>
      <c r="G31" s="21">
        <v>43255</v>
      </c>
      <c r="H31" s="14" t="s">
        <v>269</v>
      </c>
      <c r="I31" s="36"/>
      <c r="J31" s="15"/>
      <c r="K31" s="15"/>
      <c r="L31" s="15"/>
      <c r="M31" s="16"/>
      <c r="N31" s="1"/>
      <c r="O31" s="1"/>
      <c r="P31" s="1"/>
    </row>
    <row r="32" spans="1:16" x14ac:dyDescent="0.25">
      <c r="A32" s="13" t="s">
        <v>1562</v>
      </c>
      <c r="B32" s="13" t="s">
        <v>1563</v>
      </c>
      <c r="C32" s="14" t="s">
        <v>8</v>
      </c>
      <c r="D32" s="14" t="s">
        <v>9</v>
      </c>
      <c r="E32" s="13" t="s">
        <v>645</v>
      </c>
      <c r="F32" s="13" t="s">
        <v>55</v>
      </c>
      <c r="G32" s="21">
        <v>43475</v>
      </c>
      <c r="H32" s="14" t="s">
        <v>269</v>
      </c>
      <c r="I32" s="36"/>
      <c r="J32" s="15"/>
      <c r="K32" s="15"/>
      <c r="L32" s="15"/>
      <c r="M32" s="16"/>
      <c r="N32" s="1"/>
      <c r="O32" s="1"/>
      <c r="P32" s="1"/>
    </row>
    <row r="33" spans="1:16" x14ac:dyDescent="0.25">
      <c r="A33" s="13" t="s">
        <v>44</v>
      </c>
      <c r="B33" s="13" t="s">
        <v>11</v>
      </c>
      <c r="C33" s="14" t="s">
        <v>8</v>
      </c>
      <c r="D33" s="14" t="s">
        <v>9</v>
      </c>
      <c r="E33" s="13" t="s">
        <v>45</v>
      </c>
      <c r="F33" s="13" t="s">
        <v>47</v>
      </c>
      <c r="G33" s="21">
        <v>41295</v>
      </c>
      <c r="H33" s="14" t="s">
        <v>46</v>
      </c>
      <c r="I33" s="36"/>
      <c r="J33" s="15"/>
      <c r="K33" s="15"/>
      <c r="L33" s="15"/>
      <c r="M33" s="16"/>
      <c r="N33" s="1"/>
      <c r="O33" s="1"/>
      <c r="P33" s="1"/>
    </row>
    <row r="34" spans="1:16" x14ac:dyDescent="0.25">
      <c r="A34" s="13" t="s">
        <v>268</v>
      </c>
      <c r="B34" s="13" t="s">
        <v>269</v>
      </c>
      <c r="C34" s="14" t="s">
        <v>8</v>
      </c>
      <c r="D34" s="14" t="s">
        <v>9</v>
      </c>
      <c r="E34" s="13" t="s">
        <v>270</v>
      </c>
      <c r="F34" s="13" t="s">
        <v>24</v>
      </c>
      <c r="G34" s="21">
        <v>42387</v>
      </c>
      <c r="H34" s="14" t="s">
        <v>46</v>
      </c>
      <c r="I34" s="36"/>
      <c r="J34" s="15"/>
      <c r="K34" s="15"/>
      <c r="L34" s="15"/>
      <c r="M34" s="16"/>
      <c r="N34" s="1"/>
      <c r="O34" s="1"/>
      <c r="P34" s="1"/>
    </row>
    <row r="35" spans="1:16" x14ac:dyDescent="0.25">
      <c r="A35" s="13" t="s">
        <v>509</v>
      </c>
      <c r="B35" s="13" t="s">
        <v>510</v>
      </c>
      <c r="C35" s="14" t="s">
        <v>8</v>
      </c>
      <c r="D35" s="14" t="s">
        <v>9</v>
      </c>
      <c r="E35" s="13" t="s">
        <v>144</v>
      </c>
      <c r="F35" s="13" t="s">
        <v>55</v>
      </c>
      <c r="G35" s="21">
        <v>42604</v>
      </c>
      <c r="H35" s="14" t="s">
        <v>11</v>
      </c>
      <c r="I35" s="36"/>
      <c r="J35" s="15"/>
      <c r="K35" s="15"/>
      <c r="L35" s="15"/>
      <c r="M35" s="16"/>
      <c r="N35" s="1"/>
      <c r="O35" s="1"/>
      <c r="P35" s="1"/>
    </row>
    <row r="36" spans="1:16" x14ac:dyDescent="0.25">
      <c r="A36" s="13" t="s">
        <v>609</v>
      </c>
      <c r="B36" s="13" t="s">
        <v>610</v>
      </c>
      <c r="C36" s="14" t="s">
        <v>8</v>
      </c>
      <c r="D36" s="14" t="s">
        <v>27</v>
      </c>
      <c r="E36" s="13" t="s">
        <v>524</v>
      </c>
      <c r="F36" s="13" t="s">
        <v>157</v>
      </c>
      <c r="G36" s="21">
        <v>42697</v>
      </c>
      <c r="H36" s="14" t="s">
        <v>29</v>
      </c>
      <c r="I36" s="36"/>
      <c r="J36" s="15"/>
      <c r="K36" s="15"/>
      <c r="L36" s="15"/>
      <c r="M36" s="16"/>
      <c r="N36" s="1"/>
      <c r="O36" s="1"/>
      <c r="P36" s="1"/>
    </row>
    <row r="37" spans="1:16" x14ac:dyDescent="0.25">
      <c r="A37" s="13" t="s">
        <v>975</v>
      </c>
      <c r="B37" s="13" t="s">
        <v>976</v>
      </c>
      <c r="C37" s="14" t="s">
        <v>8</v>
      </c>
      <c r="D37" s="14"/>
      <c r="E37" s="13" t="s">
        <v>977</v>
      </c>
      <c r="F37" s="13" t="s">
        <v>93</v>
      </c>
      <c r="G37" s="21">
        <v>43229</v>
      </c>
      <c r="H37" s="14" t="s">
        <v>46</v>
      </c>
      <c r="I37" s="36"/>
      <c r="J37" s="15"/>
      <c r="K37" s="15"/>
      <c r="L37" s="15"/>
      <c r="M37" s="16"/>
      <c r="N37" s="1"/>
      <c r="O37" s="1"/>
      <c r="P37" s="1"/>
    </row>
    <row r="38" spans="1:16" x14ac:dyDescent="0.25">
      <c r="A38" s="13" t="s">
        <v>1181</v>
      </c>
      <c r="B38" s="13" t="s">
        <v>46</v>
      </c>
      <c r="C38" s="14" t="s">
        <v>8</v>
      </c>
      <c r="D38" s="14"/>
      <c r="E38" s="13" t="s">
        <v>1182</v>
      </c>
      <c r="F38" s="13"/>
      <c r="G38" s="21">
        <v>43298</v>
      </c>
      <c r="H38" s="14" t="s">
        <v>2</v>
      </c>
      <c r="I38" s="36"/>
      <c r="J38" s="15"/>
      <c r="K38" s="15"/>
      <c r="L38" s="15"/>
      <c r="M38" s="16"/>
      <c r="N38" s="1"/>
      <c r="O38" s="1"/>
      <c r="P38" s="1"/>
    </row>
  </sheetData>
  <mergeCells count="1">
    <mergeCell ref="A1:P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zoomScale="50" zoomScaleNormal="50"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A31" sqref="A31:XFD31"/>
    </sheetView>
  </sheetViews>
  <sheetFormatPr defaultColWidth="11" defaultRowHeight="15.75" x14ac:dyDescent="0.25"/>
  <cols>
    <col min="1" max="6" width="19.5" style="1" customWidth="1"/>
    <col min="7" max="7" width="14.125" style="32" customWidth="1"/>
    <col min="8" max="8" width="15.125" style="1" customWidth="1"/>
    <col min="9" max="10" width="17.125" style="1" customWidth="1"/>
    <col min="11" max="11" width="18.875" style="9" customWidth="1"/>
    <col min="12" max="12" width="23.375" style="9" customWidth="1"/>
    <col min="13" max="13" width="33.125" style="9" customWidth="1"/>
    <col min="14" max="14" width="22.375" style="9" customWidth="1"/>
    <col min="15" max="15" width="38.5" style="9" customWidth="1"/>
    <col min="16" max="17" width="11" style="1" customWidth="1"/>
    <col min="18" max="16384" width="11" style="1"/>
  </cols>
  <sheetData>
    <row r="1" spans="1:22" ht="54.75" customHeight="1" x14ac:dyDescent="0.4">
      <c r="A1" s="42" t="s">
        <v>1445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22" ht="27.75" hidden="1" x14ac:dyDescent="0.4">
      <c r="A2" s="4" t="s">
        <v>1395</v>
      </c>
      <c r="B2" s="33" t="s">
        <v>1435</v>
      </c>
      <c r="C2" s="2"/>
      <c r="D2" s="2"/>
      <c r="E2" s="2"/>
      <c r="F2" s="2"/>
      <c r="G2" s="31"/>
      <c r="H2" s="2"/>
      <c r="I2" s="2"/>
      <c r="J2" s="30"/>
      <c r="K2" s="3"/>
      <c r="L2" s="3"/>
      <c r="M2" s="3"/>
      <c r="N2" s="3"/>
      <c r="O2" s="3"/>
    </row>
    <row r="3" spans="1:22" ht="27.75" x14ac:dyDescent="0.4">
      <c r="A3" s="4" t="s">
        <v>1381</v>
      </c>
      <c r="B3" s="5"/>
      <c r="C3" s="5"/>
      <c r="D3" s="5"/>
      <c r="E3" s="5"/>
      <c r="F3" s="5"/>
      <c r="G3" s="31"/>
      <c r="H3" s="2"/>
      <c r="I3" s="2"/>
      <c r="J3" s="30"/>
      <c r="K3" s="3"/>
      <c r="L3" s="3"/>
      <c r="M3" s="3"/>
      <c r="N3" s="3"/>
      <c r="O3" s="3"/>
    </row>
    <row r="4" spans="1:22" ht="27.75" x14ac:dyDescent="0.4">
      <c r="A4" s="6" t="s">
        <v>1406</v>
      </c>
      <c r="B4" s="6" t="s">
        <v>1400</v>
      </c>
      <c r="C4" s="6" t="s">
        <v>1396</v>
      </c>
      <c r="D4" s="6" t="s">
        <v>1397</v>
      </c>
      <c r="E4" s="6" t="s">
        <v>1402</v>
      </c>
      <c r="F4" s="6" t="s">
        <v>1403</v>
      </c>
      <c r="G4" s="31"/>
      <c r="H4" s="2"/>
      <c r="I4" s="2"/>
      <c r="J4" s="30"/>
      <c r="K4" s="3"/>
      <c r="L4" s="3"/>
      <c r="M4" s="3"/>
      <c r="N4" s="3"/>
      <c r="O4" s="3"/>
      <c r="R4" s="26"/>
      <c r="S4" s="26"/>
      <c r="T4" s="26"/>
      <c r="U4" s="26"/>
      <c r="V4" s="26"/>
    </row>
    <row r="5" spans="1:22" ht="27.75" x14ac:dyDescent="0.4">
      <c r="A5" s="6" t="s">
        <v>1437</v>
      </c>
      <c r="B5" s="27">
        <f>VLOOKUP(B2,等级分布!A:F,2,0)</f>
        <v>0.1</v>
      </c>
      <c r="C5" s="27">
        <f>VLOOKUP(B2,等级分布!A:F,3,0)</f>
        <v>0.2</v>
      </c>
      <c r="D5" s="27">
        <f>VLOOKUP(B2,等级分布!A:F,4,0)</f>
        <v>0.3</v>
      </c>
      <c r="E5" s="27">
        <f>VLOOKUP(B2,等级分布!A:F,5,0)</f>
        <v>0.2</v>
      </c>
      <c r="F5" s="27">
        <f>VLOOKUP(B2,等级分布!A:F,6,0)</f>
        <v>0.2</v>
      </c>
      <c r="G5" s="31"/>
      <c r="H5" s="2"/>
      <c r="I5" s="2"/>
      <c r="J5" s="30"/>
      <c r="K5" s="3"/>
      <c r="L5" s="3"/>
      <c r="M5" s="3"/>
      <c r="N5" s="3"/>
      <c r="O5" s="3"/>
      <c r="R5" s="26"/>
      <c r="S5" s="26"/>
      <c r="T5" s="26"/>
      <c r="U5" s="26"/>
      <c r="V5" s="26"/>
    </row>
    <row r="6" spans="1:22" ht="27.75" x14ac:dyDescent="0.4">
      <c r="A6" s="6" t="s">
        <v>1382</v>
      </c>
      <c r="B6" s="7"/>
      <c r="C6" s="7"/>
      <c r="D6" s="7"/>
      <c r="E6" s="7"/>
      <c r="F6" s="7"/>
      <c r="G6" s="31"/>
      <c r="H6" s="2"/>
      <c r="I6" s="2"/>
      <c r="J6" s="30"/>
      <c r="K6" s="3"/>
      <c r="L6" s="3"/>
      <c r="M6" s="3"/>
      <c r="N6" s="3"/>
      <c r="O6" s="3"/>
    </row>
    <row r="7" spans="1:22" ht="18" hidden="1" x14ac:dyDescent="0.25">
      <c r="A7" s="6" t="s">
        <v>1383</v>
      </c>
      <c r="B7" s="8" t="str">
        <f>IF(B6&lt;=B5,"是","否")</f>
        <v>是</v>
      </c>
      <c r="C7" s="8" t="str">
        <f>IF(C6&lt;=C5,"是","否")</f>
        <v>是</v>
      </c>
      <c r="D7" s="8" t="str">
        <f>IF(D6&lt;=D5,"是","否")</f>
        <v>是</v>
      </c>
      <c r="E7" s="8" t="str">
        <f>IF(E6&lt;=E5,"是","否")</f>
        <v>是</v>
      </c>
      <c r="F7" s="8" t="str">
        <f>IF(F6&lt;=F5,"是","否")</f>
        <v>是</v>
      </c>
    </row>
    <row r="8" spans="1:22" ht="18" x14ac:dyDescent="0.25">
      <c r="A8" s="10" t="s">
        <v>1442</v>
      </c>
    </row>
    <row r="9" spans="1:22" ht="54" x14ac:dyDescent="0.25">
      <c r="A9" s="11" t="s">
        <v>0</v>
      </c>
      <c r="B9" s="11" t="s">
        <v>1</v>
      </c>
      <c r="C9" s="11" t="s">
        <v>1384</v>
      </c>
      <c r="D9" s="11" t="s">
        <v>1385</v>
      </c>
      <c r="E9" s="11" t="s">
        <v>1386</v>
      </c>
      <c r="F9" s="11" t="s">
        <v>1387</v>
      </c>
      <c r="G9" s="28" t="s">
        <v>1388</v>
      </c>
      <c r="H9" s="11" t="s">
        <v>1389</v>
      </c>
      <c r="I9" s="35" t="s">
        <v>1390</v>
      </c>
      <c r="J9" s="12" t="s">
        <v>1391</v>
      </c>
      <c r="K9" s="12" t="s">
        <v>1392</v>
      </c>
      <c r="L9" s="12" t="s">
        <v>1393</v>
      </c>
      <c r="M9" s="11" t="s">
        <v>1394</v>
      </c>
      <c r="N9" s="11" t="s">
        <v>1436</v>
      </c>
      <c r="O9" s="1"/>
    </row>
    <row r="10" spans="1:22" x14ac:dyDescent="0.25">
      <c r="A10" s="13" t="s">
        <v>880</v>
      </c>
      <c r="B10" s="13" t="s">
        <v>881</v>
      </c>
      <c r="C10" s="14" t="s">
        <v>82</v>
      </c>
      <c r="D10" s="14" t="s">
        <v>882</v>
      </c>
      <c r="E10" s="13" t="s">
        <v>1416</v>
      </c>
      <c r="F10" s="13" t="s">
        <v>47</v>
      </c>
      <c r="G10" s="21">
        <v>43136</v>
      </c>
      <c r="H10" s="14" t="s">
        <v>871</v>
      </c>
      <c r="I10" s="36"/>
      <c r="J10" s="15"/>
      <c r="K10" s="15"/>
      <c r="L10" s="15"/>
      <c r="M10" s="16"/>
      <c r="N10" s="1"/>
      <c r="O10" s="1"/>
    </row>
    <row r="11" spans="1:22" x14ac:dyDescent="0.25">
      <c r="A11" s="13" t="s">
        <v>1347</v>
      </c>
      <c r="B11" s="13" t="s">
        <v>1348</v>
      </c>
      <c r="C11" s="14" t="s">
        <v>82</v>
      </c>
      <c r="D11" s="14" t="s">
        <v>882</v>
      </c>
      <c r="E11" s="13" t="s">
        <v>1349</v>
      </c>
      <c r="F11" s="13" t="s">
        <v>80</v>
      </c>
      <c r="G11" s="21">
        <v>43446</v>
      </c>
      <c r="H11" s="14" t="s">
        <v>881</v>
      </c>
      <c r="I11" s="36"/>
      <c r="J11" s="15"/>
      <c r="K11" s="15"/>
      <c r="L11" s="15"/>
      <c r="M11" s="16"/>
      <c r="N11" s="1"/>
      <c r="O11" s="1"/>
    </row>
    <row r="12" spans="1:22" x14ac:dyDescent="0.25">
      <c r="A12" s="13" t="s">
        <v>619</v>
      </c>
      <c r="B12" s="13" t="s">
        <v>620</v>
      </c>
      <c r="C12" s="14" t="s">
        <v>82</v>
      </c>
      <c r="D12" s="14" t="s">
        <v>882</v>
      </c>
      <c r="E12" s="13" t="s">
        <v>1564</v>
      </c>
      <c r="F12" s="13" t="s">
        <v>55</v>
      </c>
      <c r="G12" s="21">
        <v>42704</v>
      </c>
      <c r="H12" s="14" t="s">
        <v>1348</v>
      </c>
      <c r="I12" s="36"/>
      <c r="J12" s="15"/>
      <c r="K12" s="15"/>
      <c r="L12" s="15"/>
      <c r="M12" s="16"/>
      <c r="N12" s="1"/>
      <c r="O12" s="1"/>
    </row>
    <row r="13" spans="1:22" x14ac:dyDescent="0.25">
      <c r="A13" s="13" t="s">
        <v>1324</v>
      </c>
      <c r="B13" s="13" t="s">
        <v>942</v>
      </c>
      <c r="C13" s="14" t="s">
        <v>82</v>
      </c>
      <c r="D13" s="14" t="s">
        <v>882</v>
      </c>
      <c r="E13" s="13" t="s">
        <v>1325</v>
      </c>
      <c r="F13" s="13" t="s">
        <v>12</v>
      </c>
      <c r="G13" s="21">
        <v>43430</v>
      </c>
      <c r="H13" s="14" t="s">
        <v>881</v>
      </c>
      <c r="I13" s="36"/>
      <c r="J13" s="15"/>
      <c r="K13" s="15"/>
      <c r="L13" s="15"/>
      <c r="M13" s="16"/>
      <c r="N13" s="1"/>
      <c r="O13" s="1"/>
    </row>
    <row r="14" spans="1:22" x14ac:dyDescent="0.25">
      <c r="A14" s="13" t="s">
        <v>940</v>
      </c>
      <c r="B14" s="13" t="s">
        <v>941</v>
      </c>
      <c r="C14" s="14" t="s">
        <v>82</v>
      </c>
      <c r="D14" s="14" t="s">
        <v>882</v>
      </c>
      <c r="E14" s="13" t="s">
        <v>742</v>
      </c>
      <c r="F14" s="13" t="s">
        <v>93</v>
      </c>
      <c r="G14" s="21">
        <v>43209</v>
      </c>
      <c r="H14" s="14" t="s">
        <v>942</v>
      </c>
      <c r="I14" s="36"/>
      <c r="J14" s="15"/>
      <c r="K14" s="15"/>
      <c r="L14" s="15"/>
      <c r="M14" s="16"/>
      <c r="N14" s="1"/>
      <c r="O14" s="1"/>
    </row>
    <row r="15" spans="1:22" x14ac:dyDescent="0.25">
      <c r="A15" s="13" t="s">
        <v>328</v>
      </c>
      <c r="B15" s="13" t="s">
        <v>329</v>
      </c>
      <c r="C15" s="14" t="s">
        <v>82</v>
      </c>
      <c r="D15" s="14" t="s">
        <v>330</v>
      </c>
      <c r="E15" s="13" t="s">
        <v>331</v>
      </c>
      <c r="F15" s="13" t="s">
        <v>80</v>
      </c>
      <c r="G15" s="21">
        <v>42473</v>
      </c>
      <c r="H15" s="14" t="s">
        <v>332</v>
      </c>
      <c r="I15" s="36"/>
      <c r="J15" s="15"/>
      <c r="K15" s="15"/>
      <c r="L15" s="15"/>
      <c r="M15" s="16"/>
      <c r="N15" s="1"/>
      <c r="O15" s="1"/>
    </row>
    <row r="16" spans="1:22" x14ac:dyDescent="0.25">
      <c r="A16" s="13" t="s">
        <v>1259</v>
      </c>
      <c r="B16" s="13" t="s">
        <v>1260</v>
      </c>
      <c r="C16" s="14" t="s">
        <v>82</v>
      </c>
      <c r="D16" s="14" t="s">
        <v>330</v>
      </c>
      <c r="E16" s="13" t="s">
        <v>331</v>
      </c>
      <c r="F16" s="13" t="s">
        <v>55</v>
      </c>
      <c r="G16" s="21">
        <v>43392</v>
      </c>
      <c r="H16" s="14" t="s">
        <v>332</v>
      </c>
      <c r="I16" s="36"/>
      <c r="J16" s="15"/>
      <c r="K16" s="15"/>
      <c r="L16" s="15"/>
      <c r="M16" s="16"/>
      <c r="N16" s="1"/>
      <c r="O16" s="1"/>
    </row>
    <row r="17" spans="1:15" x14ac:dyDescent="0.25">
      <c r="A17" s="13" t="s">
        <v>1278</v>
      </c>
      <c r="B17" s="13" t="s">
        <v>1279</v>
      </c>
      <c r="C17" s="14" t="s">
        <v>82</v>
      </c>
      <c r="D17" s="14" t="s">
        <v>330</v>
      </c>
      <c r="E17" s="13" t="s">
        <v>324</v>
      </c>
      <c r="F17" s="13" t="s">
        <v>93</v>
      </c>
      <c r="G17" s="21">
        <v>43402</v>
      </c>
      <c r="H17" s="14" t="s">
        <v>332</v>
      </c>
      <c r="I17" s="36"/>
      <c r="J17" s="15"/>
      <c r="K17" s="15"/>
      <c r="L17" s="15"/>
      <c r="M17" s="16"/>
      <c r="N17" s="1"/>
      <c r="O17" s="1"/>
    </row>
    <row r="18" spans="1:15" x14ac:dyDescent="0.25">
      <c r="A18" s="13" t="s">
        <v>1299</v>
      </c>
      <c r="B18" s="13" t="s">
        <v>1300</v>
      </c>
      <c r="C18" s="14" t="s">
        <v>82</v>
      </c>
      <c r="D18" s="14" t="s">
        <v>330</v>
      </c>
      <c r="E18" s="13" t="s">
        <v>404</v>
      </c>
      <c r="F18" s="13"/>
      <c r="G18" s="21">
        <v>43259</v>
      </c>
      <c r="H18" s="14" t="s">
        <v>332</v>
      </c>
      <c r="I18" s="36"/>
      <c r="J18" s="15"/>
      <c r="K18" s="15"/>
      <c r="L18" s="15"/>
      <c r="M18" s="16"/>
      <c r="N18" s="1"/>
      <c r="O18" s="1"/>
    </row>
    <row r="19" spans="1:15" x14ac:dyDescent="0.25">
      <c r="A19" s="13" t="s">
        <v>921</v>
      </c>
      <c r="B19" s="13" t="s">
        <v>922</v>
      </c>
      <c r="C19" s="14" t="s">
        <v>82</v>
      </c>
      <c r="D19" s="14" t="s">
        <v>330</v>
      </c>
      <c r="E19" s="13" t="s">
        <v>923</v>
      </c>
      <c r="F19" s="13" t="s">
        <v>12</v>
      </c>
      <c r="G19" s="21">
        <v>43201</v>
      </c>
      <c r="H19" s="14" t="s">
        <v>332</v>
      </c>
      <c r="I19" s="36"/>
      <c r="J19" s="15"/>
      <c r="K19" s="15"/>
      <c r="L19" s="15"/>
      <c r="M19" s="16"/>
      <c r="N19" s="1"/>
      <c r="O19" s="1"/>
    </row>
    <row r="20" spans="1:15" x14ac:dyDescent="0.25">
      <c r="A20" s="13" t="s">
        <v>924</v>
      </c>
      <c r="B20" s="13" t="s">
        <v>332</v>
      </c>
      <c r="C20" s="14" t="s">
        <v>82</v>
      </c>
      <c r="D20" s="14" t="s">
        <v>330</v>
      </c>
      <c r="E20" s="13" t="s">
        <v>925</v>
      </c>
      <c r="F20" s="13" t="s">
        <v>80</v>
      </c>
      <c r="G20" s="21">
        <v>43201</v>
      </c>
      <c r="H20" s="14" t="s">
        <v>871</v>
      </c>
      <c r="I20" s="36"/>
      <c r="J20" s="15"/>
      <c r="K20" s="15"/>
      <c r="L20" s="15"/>
      <c r="M20" s="16"/>
      <c r="N20" s="1"/>
      <c r="O20" s="1"/>
    </row>
    <row r="21" spans="1:15" x14ac:dyDescent="0.25">
      <c r="A21" s="13" t="s">
        <v>869</v>
      </c>
      <c r="B21" s="13" t="s">
        <v>427</v>
      </c>
      <c r="C21" s="14" t="s">
        <v>82</v>
      </c>
      <c r="D21" s="14" t="s">
        <v>323</v>
      </c>
      <c r="E21" s="13" t="s">
        <v>870</v>
      </c>
      <c r="F21" s="13" t="s">
        <v>80</v>
      </c>
      <c r="G21" s="21">
        <v>43122</v>
      </c>
      <c r="H21" s="14" t="s">
        <v>871</v>
      </c>
      <c r="I21" s="36"/>
      <c r="J21" s="15"/>
      <c r="K21" s="15"/>
      <c r="L21" s="15"/>
      <c r="M21" s="16"/>
      <c r="N21" s="1"/>
      <c r="O21" s="1"/>
    </row>
    <row r="22" spans="1:15" x14ac:dyDescent="0.25">
      <c r="A22" s="13" t="s">
        <v>1343</v>
      </c>
      <c r="B22" s="13" t="s">
        <v>1344</v>
      </c>
      <c r="C22" s="14" t="s">
        <v>82</v>
      </c>
      <c r="D22" s="14" t="s">
        <v>323</v>
      </c>
      <c r="E22" s="13" t="s">
        <v>1345</v>
      </c>
      <c r="F22" s="13" t="s">
        <v>55</v>
      </c>
      <c r="G22" s="21">
        <v>43437</v>
      </c>
      <c r="H22" s="14" t="s">
        <v>871</v>
      </c>
      <c r="I22" s="36"/>
      <c r="J22" s="15"/>
      <c r="K22" s="15"/>
      <c r="L22" s="15"/>
      <c r="M22" s="16"/>
      <c r="N22" s="1"/>
      <c r="O22" s="1"/>
    </row>
    <row r="23" spans="1:15" x14ac:dyDescent="0.25">
      <c r="A23" s="13" t="s">
        <v>424</v>
      </c>
      <c r="B23" s="13" t="s">
        <v>425</v>
      </c>
      <c r="C23" s="14" t="s">
        <v>82</v>
      </c>
      <c r="D23" s="14" t="s">
        <v>323</v>
      </c>
      <c r="E23" s="13" t="s">
        <v>426</v>
      </c>
      <c r="F23" s="13" t="s">
        <v>12</v>
      </c>
      <c r="G23" s="21">
        <v>42536</v>
      </c>
      <c r="H23" s="14" t="s">
        <v>427</v>
      </c>
      <c r="I23" s="36"/>
      <c r="J23" s="15"/>
      <c r="K23" s="15"/>
      <c r="L23" s="15"/>
      <c r="M23" s="16"/>
      <c r="N23" s="1"/>
      <c r="O23" s="1"/>
    </row>
    <row r="24" spans="1:15" x14ac:dyDescent="0.25">
      <c r="A24" s="13" t="s">
        <v>205</v>
      </c>
      <c r="B24" s="13" t="s">
        <v>206</v>
      </c>
      <c r="C24" s="14" t="s">
        <v>82</v>
      </c>
      <c r="D24" s="14" t="s">
        <v>207</v>
      </c>
      <c r="E24" s="13" t="s">
        <v>208</v>
      </c>
      <c r="F24" s="13" t="s">
        <v>12</v>
      </c>
      <c r="G24" s="21">
        <v>42289</v>
      </c>
      <c r="H24" s="14" t="s">
        <v>871</v>
      </c>
      <c r="I24" s="36"/>
      <c r="J24" s="15"/>
      <c r="K24" s="15"/>
      <c r="L24" s="15"/>
      <c r="M24" s="16"/>
      <c r="N24" s="1"/>
      <c r="O24" s="1"/>
    </row>
    <row r="25" spans="1:15" x14ac:dyDescent="0.25">
      <c r="A25" s="13" t="s">
        <v>1112</v>
      </c>
      <c r="B25" s="13" t="s">
        <v>1113</v>
      </c>
      <c r="C25" s="14" t="s">
        <v>82</v>
      </c>
      <c r="D25" s="14" t="s">
        <v>207</v>
      </c>
      <c r="E25" s="13" t="s">
        <v>1114</v>
      </c>
      <c r="F25" s="13" t="s">
        <v>12</v>
      </c>
      <c r="G25" s="21">
        <v>43290</v>
      </c>
      <c r="H25" s="14" t="s">
        <v>871</v>
      </c>
      <c r="I25" s="36"/>
      <c r="J25" s="15"/>
      <c r="K25" s="15"/>
      <c r="L25" s="15"/>
      <c r="M25" s="16"/>
      <c r="N25" s="1"/>
      <c r="O25" s="1"/>
    </row>
    <row r="26" spans="1:15" x14ac:dyDescent="0.25">
      <c r="A26" s="13" t="s">
        <v>233</v>
      </c>
      <c r="B26" s="13" t="s">
        <v>234</v>
      </c>
      <c r="C26" s="14" t="s">
        <v>82</v>
      </c>
      <c r="D26" s="14" t="s">
        <v>207</v>
      </c>
      <c r="E26" s="13" t="s">
        <v>1565</v>
      </c>
      <c r="F26" s="13" t="s">
        <v>12</v>
      </c>
      <c r="G26" s="21">
        <v>42324</v>
      </c>
      <c r="H26" s="14" t="s">
        <v>405</v>
      </c>
      <c r="I26" s="36"/>
      <c r="J26" s="15"/>
      <c r="K26" s="15"/>
      <c r="L26" s="15"/>
      <c r="M26" s="16"/>
      <c r="N26" s="1"/>
      <c r="O26" s="1"/>
    </row>
    <row r="27" spans="1:15" x14ac:dyDescent="0.25">
      <c r="A27" s="13" t="s">
        <v>402</v>
      </c>
      <c r="B27" s="13" t="s">
        <v>403</v>
      </c>
      <c r="C27" s="14" t="s">
        <v>82</v>
      </c>
      <c r="D27" s="14" t="s">
        <v>207</v>
      </c>
      <c r="E27" s="13" t="s">
        <v>404</v>
      </c>
      <c r="F27" s="13" t="s">
        <v>93</v>
      </c>
      <c r="G27" s="21">
        <v>42524</v>
      </c>
      <c r="H27" s="14" t="s">
        <v>405</v>
      </c>
      <c r="I27" s="36"/>
      <c r="J27" s="15"/>
      <c r="K27" s="15"/>
      <c r="L27" s="15"/>
      <c r="M27" s="16"/>
      <c r="N27" s="1"/>
      <c r="O27" s="1"/>
    </row>
    <row r="28" spans="1:15" x14ac:dyDescent="0.25">
      <c r="A28" s="13" t="s">
        <v>810</v>
      </c>
      <c r="B28" s="13" t="s">
        <v>405</v>
      </c>
      <c r="C28" s="14" t="s">
        <v>82</v>
      </c>
      <c r="D28" s="14" t="s">
        <v>207</v>
      </c>
      <c r="E28" s="13" t="s">
        <v>811</v>
      </c>
      <c r="F28" s="13" t="s">
        <v>56</v>
      </c>
      <c r="G28" s="21">
        <v>43003</v>
      </c>
      <c r="H28" s="14" t="s">
        <v>871</v>
      </c>
      <c r="I28" s="36"/>
      <c r="J28" s="15"/>
      <c r="K28" s="15"/>
      <c r="L28" s="15"/>
      <c r="M28" s="16"/>
      <c r="N28" s="1"/>
      <c r="O28" s="1"/>
    </row>
    <row r="29" spans="1:15" x14ac:dyDescent="0.25">
      <c r="A29" s="13" t="s">
        <v>1301</v>
      </c>
      <c r="B29" s="13" t="s">
        <v>1302</v>
      </c>
      <c r="C29" s="14" t="s">
        <v>82</v>
      </c>
      <c r="D29" s="14" t="s">
        <v>207</v>
      </c>
      <c r="E29" s="13" t="s">
        <v>404</v>
      </c>
      <c r="F29" s="13"/>
      <c r="G29" s="21">
        <v>43297</v>
      </c>
      <c r="H29" s="14" t="s">
        <v>405</v>
      </c>
      <c r="I29" s="36"/>
      <c r="J29" s="15"/>
      <c r="K29" s="15"/>
      <c r="L29" s="15"/>
      <c r="M29" s="16"/>
      <c r="N29" s="1"/>
      <c r="O29" s="1"/>
    </row>
    <row r="30" spans="1:15" x14ac:dyDescent="0.25">
      <c r="A30" s="13" t="s">
        <v>1303</v>
      </c>
      <c r="B30" s="13" t="s">
        <v>1304</v>
      </c>
      <c r="C30" s="14" t="s">
        <v>82</v>
      </c>
      <c r="D30" s="14" t="s">
        <v>207</v>
      </c>
      <c r="E30" s="13" t="s">
        <v>1305</v>
      </c>
      <c r="F30" s="13"/>
      <c r="G30" s="21">
        <v>42552</v>
      </c>
      <c r="H30" s="14" t="s">
        <v>329</v>
      </c>
      <c r="I30" s="36"/>
      <c r="J30" s="15"/>
      <c r="K30" s="15"/>
      <c r="L30" s="15"/>
      <c r="M30" s="16"/>
      <c r="N30" s="1"/>
      <c r="O30" s="1"/>
    </row>
    <row r="31" spans="1:15" x14ac:dyDescent="0.25">
      <c r="A31" s="13" t="s">
        <v>984</v>
      </c>
      <c r="B31" s="13" t="s">
        <v>209</v>
      </c>
      <c r="C31" s="14" t="s">
        <v>82</v>
      </c>
      <c r="D31" s="14" t="s">
        <v>207</v>
      </c>
      <c r="E31" s="13" t="s">
        <v>985</v>
      </c>
      <c r="F31" s="13" t="s">
        <v>24</v>
      </c>
      <c r="G31" s="21">
        <v>43234</v>
      </c>
      <c r="H31" s="14" t="s">
        <v>871</v>
      </c>
      <c r="I31" s="36"/>
      <c r="J31" s="15"/>
      <c r="K31" s="15"/>
      <c r="L31" s="15"/>
      <c r="M31" s="16"/>
      <c r="N31" s="1"/>
      <c r="O31" s="1"/>
    </row>
    <row r="32" spans="1:15" x14ac:dyDescent="0.25">
      <c r="G32" s="1"/>
      <c r="I32" s="9"/>
      <c r="J32" s="9"/>
      <c r="N32" s="1"/>
      <c r="O32" s="1"/>
    </row>
    <row r="33" spans="7:15" x14ac:dyDescent="0.25">
      <c r="G33" s="1"/>
      <c r="H33" s="9"/>
      <c r="I33" s="9"/>
      <c r="J33" s="9"/>
      <c r="M33" s="1"/>
      <c r="N33" s="1"/>
      <c r="O33" s="1"/>
    </row>
    <row r="34" spans="7:15" x14ac:dyDescent="0.25">
      <c r="G34" s="1"/>
      <c r="J34" s="9"/>
      <c r="O34" s="1"/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zoomScale="50" zoomScaleNormal="50"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I24" sqref="C15:I24"/>
    </sheetView>
  </sheetViews>
  <sheetFormatPr defaultColWidth="11" defaultRowHeight="15.75" x14ac:dyDescent="0.25"/>
  <cols>
    <col min="1" max="6" width="19.5" style="1" customWidth="1"/>
    <col min="7" max="7" width="13.375" style="1" customWidth="1"/>
    <col min="8" max="8" width="14.125" style="32" customWidth="1"/>
    <col min="9" max="9" width="15.125" style="1" customWidth="1"/>
    <col min="10" max="11" width="17.125" style="1" customWidth="1"/>
    <col min="12" max="12" width="18.875" style="9" customWidth="1"/>
    <col min="13" max="13" width="23.375" style="9" customWidth="1"/>
    <col min="14" max="14" width="33.125" style="9" customWidth="1"/>
    <col min="15" max="15" width="22.375" style="9" customWidth="1"/>
    <col min="16" max="16" width="38.5" style="9" customWidth="1"/>
    <col min="17" max="18" width="11" style="1" customWidth="1"/>
    <col min="19" max="16384" width="11" style="1"/>
  </cols>
  <sheetData>
    <row r="1" spans="1:23" ht="54.75" customHeight="1" x14ac:dyDescent="0.4">
      <c r="A1" s="42" t="s">
        <v>1446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23" ht="27.75" hidden="1" x14ac:dyDescent="0.4">
      <c r="A2" s="4" t="s">
        <v>1395</v>
      </c>
      <c r="B2" s="33" t="s">
        <v>1397</v>
      </c>
      <c r="C2" s="2"/>
      <c r="D2" s="2"/>
      <c r="E2" s="2"/>
      <c r="F2" s="2"/>
      <c r="G2" s="2"/>
      <c r="H2" s="31"/>
      <c r="I2" s="2"/>
      <c r="J2" s="2"/>
      <c r="K2" s="30"/>
      <c r="L2" s="3"/>
      <c r="M2" s="3"/>
      <c r="N2" s="3"/>
      <c r="O2" s="3"/>
      <c r="P2" s="3"/>
    </row>
    <row r="3" spans="1:23" ht="27.75" x14ac:dyDescent="0.4">
      <c r="A3" s="4" t="s">
        <v>1381</v>
      </c>
      <c r="B3" s="5"/>
      <c r="C3" s="5"/>
      <c r="D3" s="5"/>
      <c r="E3" s="5"/>
      <c r="F3" s="5"/>
      <c r="G3" s="2"/>
      <c r="H3" s="31"/>
      <c r="I3" s="2"/>
      <c r="J3" s="2"/>
      <c r="K3" s="30"/>
      <c r="L3" s="3"/>
      <c r="M3" s="3"/>
      <c r="N3" s="3"/>
      <c r="O3" s="3"/>
      <c r="P3" s="3"/>
    </row>
    <row r="4" spans="1:23" ht="27.75" x14ac:dyDescent="0.4">
      <c r="A4" s="6" t="s">
        <v>1406</v>
      </c>
      <c r="B4" s="6" t="s">
        <v>1400</v>
      </c>
      <c r="C4" s="6" t="s">
        <v>1396</v>
      </c>
      <c r="D4" s="6" t="s">
        <v>1397</v>
      </c>
      <c r="E4" s="6" t="s">
        <v>1402</v>
      </c>
      <c r="F4" s="6" t="s">
        <v>1403</v>
      </c>
      <c r="G4" s="2"/>
      <c r="H4" s="31"/>
      <c r="I4" s="2"/>
      <c r="J4" s="2"/>
      <c r="K4" s="30"/>
      <c r="L4" s="3"/>
      <c r="M4" s="3"/>
      <c r="N4" s="3"/>
      <c r="O4" s="3"/>
      <c r="P4" s="3"/>
      <c r="S4" s="26"/>
      <c r="T4" s="26"/>
      <c r="U4" s="26"/>
      <c r="V4" s="26"/>
      <c r="W4" s="26"/>
    </row>
    <row r="5" spans="1:23" ht="27.75" x14ac:dyDescent="0.4">
      <c r="A5" s="6" t="s">
        <v>1407</v>
      </c>
      <c r="B5" s="27">
        <f>VLOOKUP(B2,等级分布!A:F,2,0)</f>
        <v>0.1</v>
      </c>
      <c r="C5" s="27">
        <f>VLOOKUP(B2,等级分布!A:F,3,0)</f>
        <v>0.2</v>
      </c>
      <c r="D5" s="27">
        <f>VLOOKUP(B2,等级分布!A:F,4,0)</f>
        <v>0.3</v>
      </c>
      <c r="E5" s="27">
        <f>VLOOKUP(B2,等级分布!A:F,5,0)</f>
        <v>0.2</v>
      </c>
      <c r="F5" s="27">
        <f>VLOOKUP(B2,等级分布!A:F,6,0)</f>
        <v>0.2</v>
      </c>
      <c r="G5" s="2"/>
      <c r="H5" s="31"/>
      <c r="I5" s="2"/>
      <c r="J5" s="2"/>
      <c r="K5" s="30"/>
      <c r="L5" s="3"/>
      <c r="M5" s="3"/>
      <c r="N5" s="3"/>
      <c r="O5" s="3"/>
      <c r="P5" s="3"/>
      <c r="S5" s="26"/>
      <c r="T5" s="26"/>
      <c r="U5" s="26"/>
      <c r="V5" s="26"/>
      <c r="W5" s="26"/>
    </row>
    <row r="6" spans="1:23" ht="27.75" x14ac:dyDescent="0.4">
      <c r="A6" s="6" t="s">
        <v>1382</v>
      </c>
      <c r="B6" s="7"/>
      <c r="C6" s="7"/>
      <c r="D6" s="7"/>
      <c r="E6" s="7"/>
      <c r="F6" s="7"/>
      <c r="G6" s="2"/>
      <c r="H6" s="31"/>
      <c r="I6" s="2"/>
      <c r="J6" s="2"/>
      <c r="K6" s="30"/>
      <c r="L6" s="3"/>
      <c r="M6" s="3"/>
      <c r="N6" s="3"/>
      <c r="O6" s="3"/>
      <c r="P6" s="3"/>
    </row>
    <row r="7" spans="1:23" ht="18" hidden="1" x14ac:dyDescent="0.25">
      <c r="A7" s="6" t="s">
        <v>1383</v>
      </c>
      <c r="B7" s="8" t="str">
        <f>IF(B6&lt;=B5,"是","否")</f>
        <v>是</v>
      </c>
      <c r="C7" s="8" t="str">
        <f>IF(C6&lt;=C5,"是","否")</f>
        <v>是</v>
      </c>
      <c r="D7" s="8" t="str">
        <f>IF(D6&lt;=D5,"是","否")</f>
        <v>是</v>
      </c>
      <c r="E7" s="8" t="str">
        <f>IF(E6&lt;=E5,"是","否")</f>
        <v>是</v>
      </c>
      <c r="F7" s="8" t="str">
        <f>IF(F6&lt;=F5,"是","否")</f>
        <v>是</v>
      </c>
    </row>
    <row r="8" spans="1:23" ht="18" x14ac:dyDescent="0.25">
      <c r="A8" s="10" t="s">
        <v>1442</v>
      </c>
    </row>
    <row r="9" spans="1:23" ht="75" x14ac:dyDescent="0.25">
      <c r="A9" s="11" t="s">
        <v>0</v>
      </c>
      <c r="B9" s="11" t="s">
        <v>1</v>
      </c>
      <c r="C9" s="11" t="s">
        <v>1384</v>
      </c>
      <c r="D9" s="11" t="s">
        <v>1385</v>
      </c>
      <c r="E9" s="11" t="s">
        <v>1386</v>
      </c>
      <c r="F9" s="11" t="s">
        <v>1387</v>
      </c>
      <c r="G9" s="28" t="s">
        <v>1388</v>
      </c>
      <c r="H9" s="11" t="s">
        <v>1389</v>
      </c>
      <c r="I9" s="35" t="s">
        <v>1390</v>
      </c>
      <c r="J9" s="12" t="s">
        <v>1391</v>
      </c>
      <c r="K9" s="12" t="s">
        <v>1392</v>
      </c>
      <c r="L9" s="12" t="s">
        <v>1393</v>
      </c>
      <c r="M9" s="11" t="s">
        <v>1394</v>
      </c>
      <c r="N9" s="11" t="s">
        <v>1436</v>
      </c>
      <c r="O9" s="1"/>
      <c r="P9" s="1"/>
    </row>
    <row r="10" spans="1:23" x14ac:dyDescent="0.25">
      <c r="A10" s="13" t="s">
        <v>611</v>
      </c>
      <c r="B10" s="13" t="s">
        <v>612</v>
      </c>
      <c r="C10" s="14" t="s">
        <v>15</v>
      </c>
      <c r="D10" s="14" t="s">
        <v>613</v>
      </c>
      <c r="E10" s="13" t="s">
        <v>614</v>
      </c>
      <c r="F10" s="13" t="s">
        <v>80</v>
      </c>
      <c r="G10" s="21">
        <v>42702</v>
      </c>
      <c r="H10" s="14" t="s">
        <v>615</v>
      </c>
      <c r="I10" s="38"/>
      <c r="J10" s="15"/>
      <c r="K10" s="15"/>
      <c r="L10" s="15"/>
      <c r="M10" s="16"/>
      <c r="N10" s="1"/>
      <c r="O10" s="1"/>
      <c r="P10" s="1"/>
    </row>
    <row r="11" spans="1:23" x14ac:dyDescent="0.25">
      <c r="A11" s="13" t="s">
        <v>13</v>
      </c>
      <c r="B11" s="13" t="s">
        <v>14</v>
      </c>
      <c r="C11" s="14" t="s">
        <v>15</v>
      </c>
      <c r="D11" s="14" t="s">
        <v>16</v>
      </c>
      <c r="E11" s="13" t="s">
        <v>17</v>
      </c>
      <c r="F11" s="13" t="s">
        <v>19</v>
      </c>
      <c r="G11" s="21">
        <v>40057</v>
      </c>
      <c r="H11" s="14" t="s">
        <v>18</v>
      </c>
      <c r="I11" s="38"/>
      <c r="J11" s="15"/>
      <c r="K11" s="15"/>
      <c r="L11" s="15"/>
      <c r="M11" s="16"/>
      <c r="N11" s="1"/>
      <c r="O11" s="1"/>
      <c r="P11" s="1"/>
    </row>
    <row r="12" spans="1:23" x14ac:dyDescent="0.25">
      <c r="A12" s="13" t="s">
        <v>339</v>
      </c>
      <c r="B12" s="13" t="s">
        <v>340</v>
      </c>
      <c r="C12" s="14" t="s">
        <v>15</v>
      </c>
      <c r="D12" s="14" t="s">
        <v>16</v>
      </c>
      <c r="E12" s="13" t="s">
        <v>17</v>
      </c>
      <c r="F12" s="13" t="s">
        <v>55</v>
      </c>
      <c r="G12" s="21">
        <v>42485</v>
      </c>
      <c r="H12" s="14" t="s">
        <v>18</v>
      </c>
      <c r="I12" s="38"/>
      <c r="J12" s="15"/>
      <c r="K12" s="15"/>
      <c r="L12" s="15"/>
      <c r="M12" s="16"/>
      <c r="N12" s="1"/>
      <c r="O12" s="1"/>
      <c r="P12" s="1"/>
    </row>
    <row r="13" spans="1:23" x14ac:dyDescent="0.25">
      <c r="A13" s="13" t="s">
        <v>646</v>
      </c>
      <c r="B13" s="13" t="s">
        <v>647</v>
      </c>
      <c r="C13" s="14" t="s">
        <v>15</v>
      </c>
      <c r="D13" s="14" t="s">
        <v>527</v>
      </c>
      <c r="E13" s="13" t="s">
        <v>1566</v>
      </c>
      <c r="F13" s="13" t="s">
        <v>55</v>
      </c>
      <c r="G13" s="21">
        <v>42732</v>
      </c>
      <c r="H13" s="14" t="s">
        <v>526</v>
      </c>
      <c r="I13" s="38"/>
      <c r="J13" s="15"/>
      <c r="K13" s="15"/>
      <c r="L13" s="15"/>
      <c r="M13" s="16"/>
      <c r="N13" s="1"/>
      <c r="O13" s="1"/>
      <c r="P13" s="1"/>
    </row>
    <row r="14" spans="1:23" x14ac:dyDescent="0.25">
      <c r="A14" s="13" t="s">
        <v>660</v>
      </c>
      <c r="B14" s="13" t="s">
        <v>661</v>
      </c>
      <c r="C14" s="14" t="s">
        <v>15</v>
      </c>
      <c r="D14" s="14" t="s">
        <v>527</v>
      </c>
      <c r="E14" s="13" t="s">
        <v>648</v>
      </c>
      <c r="F14" s="13" t="s">
        <v>12</v>
      </c>
      <c r="G14" s="21">
        <v>42753</v>
      </c>
      <c r="H14" s="14" t="s">
        <v>526</v>
      </c>
      <c r="I14" s="38"/>
      <c r="J14" s="15"/>
      <c r="K14" s="15"/>
      <c r="L14" s="15"/>
      <c r="M14" s="16"/>
      <c r="N14" s="1"/>
      <c r="O14" s="1"/>
      <c r="P14" s="1"/>
    </row>
    <row r="15" spans="1:23" x14ac:dyDescent="0.25">
      <c r="A15" s="13" t="s">
        <v>771</v>
      </c>
      <c r="B15" s="13" t="s">
        <v>772</v>
      </c>
      <c r="C15" s="14" t="s">
        <v>15</v>
      </c>
      <c r="D15" s="14" t="s">
        <v>527</v>
      </c>
      <c r="E15" s="13" t="s">
        <v>773</v>
      </c>
      <c r="F15" s="13" t="s">
        <v>12</v>
      </c>
      <c r="G15" s="21">
        <v>42956</v>
      </c>
      <c r="H15" s="14" t="s">
        <v>526</v>
      </c>
      <c r="I15" s="38"/>
      <c r="J15" s="15"/>
      <c r="K15" s="15"/>
      <c r="L15" s="15"/>
      <c r="M15" s="16"/>
      <c r="N15" s="1"/>
      <c r="O15" s="1"/>
      <c r="P15" s="1"/>
    </row>
    <row r="16" spans="1:23" x14ac:dyDescent="0.25">
      <c r="A16" s="13" t="s">
        <v>917</v>
      </c>
      <c r="B16" s="13" t="s">
        <v>918</v>
      </c>
      <c r="C16" s="14" t="s">
        <v>15</v>
      </c>
      <c r="D16" s="14" t="s">
        <v>527</v>
      </c>
      <c r="E16" s="13" t="s">
        <v>648</v>
      </c>
      <c r="F16" s="13" t="s">
        <v>80</v>
      </c>
      <c r="G16" s="21">
        <v>43199</v>
      </c>
      <c r="H16" s="14" t="s">
        <v>526</v>
      </c>
      <c r="I16" s="38"/>
      <c r="J16" s="15"/>
      <c r="K16" s="15"/>
      <c r="L16" s="15"/>
      <c r="M16" s="16"/>
      <c r="N16" s="1"/>
      <c r="O16" s="1"/>
      <c r="P16" s="1"/>
    </row>
    <row r="17" spans="1:16" x14ac:dyDescent="0.25">
      <c r="A17" s="13" t="s">
        <v>943</v>
      </c>
      <c r="B17" s="13" t="s">
        <v>944</v>
      </c>
      <c r="C17" s="14" t="s">
        <v>15</v>
      </c>
      <c r="D17" s="14" t="s">
        <v>527</v>
      </c>
      <c r="E17" s="13" t="s">
        <v>945</v>
      </c>
      <c r="F17" s="13" t="s">
        <v>55</v>
      </c>
      <c r="G17" s="21">
        <v>43213</v>
      </c>
      <c r="H17" s="14" t="s">
        <v>661</v>
      </c>
      <c r="I17" s="38"/>
      <c r="J17" s="15"/>
      <c r="K17" s="15"/>
      <c r="L17" s="15"/>
      <c r="M17" s="16"/>
      <c r="N17" s="1"/>
      <c r="O17" s="1"/>
      <c r="P17" s="1"/>
    </row>
    <row r="18" spans="1:16" x14ac:dyDescent="0.25">
      <c r="A18" s="13" t="s">
        <v>1007</v>
      </c>
      <c r="B18" s="13" t="s">
        <v>1008</v>
      </c>
      <c r="C18" s="14" t="s">
        <v>15</v>
      </c>
      <c r="D18" s="14" t="s">
        <v>527</v>
      </c>
      <c r="E18" s="13" t="s">
        <v>648</v>
      </c>
      <c r="F18" s="13" t="s">
        <v>1567</v>
      </c>
      <c r="G18" s="21">
        <v>43243</v>
      </c>
      <c r="H18" s="14" t="s">
        <v>526</v>
      </c>
      <c r="I18" s="38"/>
      <c r="J18" s="15"/>
      <c r="K18" s="15"/>
      <c r="L18" s="15"/>
      <c r="M18" s="16"/>
      <c r="N18" s="1"/>
      <c r="O18" s="1"/>
      <c r="P18" s="1"/>
    </row>
    <row r="19" spans="1:16" x14ac:dyDescent="0.25">
      <c r="A19" s="13" t="s">
        <v>1028</v>
      </c>
      <c r="B19" s="13" t="s">
        <v>1029</v>
      </c>
      <c r="C19" s="14" t="s">
        <v>15</v>
      </c>
      <c r="D19" s="14" t="s">
        <v>527</v>
      </c>
      <c r="E19" s="13" t="s">
        <v>945</v>
      </c>
      <c r="F19" s="13" t="s">
        <v>93</v>
      </c>
      <c r="G19" s="21">
        <v>43255</v>
      </c>
      <c r="H19" s="14" t="s">
        <v>661</v>
      </c>
      <c r="I19" s="38"/>
      <c r="J19" s="15"/>
      <c r="K19" s="15"/>
      <c r="L19" s="15"/>
      <c r="M19" s="16"/>
      <c r="N19" s="1"/>
      <c r="O19" s="1"/>
      <c r="P19" s="1"/>
    </row>
    <row r="20" spans="1:16" x14ac:dyDescent="0.25">
      <c r="A20" s="13" t="s">
        <v>736</v>
      </c>
      <c r="B20" s="13" t="s">
        <v>737</v>
      </c>
      <c r="C20" s="14" t="s">
        <v>15</v>
      </c>
      <c r="D20" s="14" t="s">
        <v>527</v>
      </c>
      <c r="E20" s="13" t="s">
        <v>648</v>
      </c>
      <c r="F20" s="13" t="s">
        <v>12</v>
      </c>
      <c r="G20" s="21">
        <v>42865</v>
      </c>
      <c r="H20" s="14" t="s">
        <v>526</v>
      </c>
      <c r="I20" s="38"/>
      <c r="J20" s="15"/>
      <c r="K20" s="15"/>
      <c r="L20" s="15"/>
      <c r="M20" s="16"/>
      <c r="N20" s="1"/>
      <c r="O20" s="1"/>
      <c r="P20" s="1"/>
    </row>
    <row r="21" spans="1:16" x14ac:dyDescent="0.25">
      <c r="G21" s="32"/>
      <c r="H21" s="1"/>
      <c r="I21" s="9"/>
      <c r="J21" s="9"/>
      <c r="K21" s="9"/>
      <c r="N21" s="1"/>
      <c r="O21" s="1"/>
      <c r="P21" s="1"/>
    </row>
    <row r="22" spans="1:16" x14ac:dyDescent="0.25">
      <c r="G22" s="32"/>
      <c r="H22" s="1"/>
      <c r="I22" s="9"/>
      <c r="J22" s="9"/>
      <c r="K22" s="9"/>
      <c r="N22" s="1"/>
      <c r="O22" s="1"/>
      <c r="P22" s="1"/>
    </row>
    <row r="23" spans="1:16" x14ac:dyDescent="0.25">
      <c r="J23" s="9"/>
      <c r="K23" s="9"/>
      <c r="O23" s="1"/>
      <c r="P23" s="1"/>
    </row>
    <row r="24" spans="1:16" x14ac:dyDescent="0.25">
      <c r="J24" s="9"/>
      <c r="K24" s="9"/>
      <c r="O24" s="1"/>
      <c r="P24" s="1"/>
    </row>
    <row r="25" spans="1:16" x14ac:dyDescent="0.25">
      <c r="J25" s="9"/>
      <c r="K25" s="9"/>
      <c r="O25" s="1"/>
      <c r="P25" s="1"/>
    </row>
  </sheetData>
  <mergeCells count="1">
    <mergeCell ref="A1:P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J13" sqref="A1:J13"/>
    </sheetView>
  </sheetViews>
  <sheetFormatPr defaultRowHeight="14.25" x14ac:dyDescent="0.2"/>
  <cols>
    <col min="1" max="2" width="13" bestFit="1" customWidth="1"/>
  </cols>
  <sheetData>
    <row r="1" spans="1:6" x14ac:dyDescent="0.2">
      <c r="A1" t="s">
        <v>1398</v>
      </c>
      <c r="B1" t="s">
        <v>1399</v>
      </c>
    </row>
    <row r="2" spans="1:6" x14ac:dyDescent="0.2">
      <c r="B2" t="s">
        <v>1404</v>
      </c>
      <c r="C2" t="s">
        <v>1396</v>
      </c>
      <c r="D2" t="s">
        <v>1397</v>
      </c>
      <c r="E2" t="s">
        <v>1405</v>
      </c>
      <c r="F2" t="s">
        <v>1403</v>
      </c>
    </row>
    <row r="3" spans="1:6" x14ac:dyDescent="0.2">
      <c r="A3" t="s">
        <v>1400</v>
      </c>
      <c r="B3" s="25">
        <v>0.2</v>
      </c>
      <c r="C3" s="25">
        <v>0.2</v>
      </c>
      <c r="D3" s="25">
        <v>0.3</v>
      </c>
      <c r="E3" s="25">
        <v>0.2</v>
      </c>
      <c r="F3" s="25">
        <v>0.1</v>
      </c>
    </row>
    <row r="4" spans="1:6" x14ac:dyDescent="0.2">
      <c r="A4" t="s">
        <v>1396</v>
      </c>
      <c r="B4" s="25">
        <v>0.15</v>
      </c>
      <c r="C4" s="25">
        <v>0.2</v>
      </c>
      <c r="D4" s="25">
        <v>0.35</v>
      </c>
      <c r="E4" s="25">
        <v>0.2</v>
      </c>
      <c r="F4" s="25">
        <v>0.1</v>
      </c>
    </row>
    <row r="5" spans="1:6" x14ac:dyDescent="0.2">
      <c r="A5" t="s">
        <v>1401</v>
      </c>
      <c r="B5" s="25">
        <v>0.1</v>
      </c>
      <c r="C5" s="25">
        <v>0.2</v>
      </c>
      <c r="D5" s="25">
        <v>0.3</v>
      </c>
      <c r="E5" s="25">
        <v>0.2</v>
      </c>
      <c r="F5" s="25">
        <v>0.2</v>
      </c>
    </row>
    <row r="6" spans="1:6" x14ac:dyDescent="0.2">
      <c r="A6" t="s">
        <v>1402</v>
      </c>
      <c r="B6" s="25">
        <v>0.1</v>
      </c>
      <c r="C6" s="25">
        <v>0.2</v>
      </c>
      <c r="D6" s="25">
        <v>0.3</v>
      </c>
      <c r="E6" s="25">
        <v>0.2</v>
      </c>
      <c r="F6" s="25">
        <v>0.2</v>
      </c>
    </row>
    <row r="7" spans="1:6" x14ac:dyDescent="0.2">
      <c r="A7" t="s">
        <v>1403</v>
      </c>
      <c r="B7" s="25">
        <v>0.1</v>
      </c>
      <c r="C7" s="25">
        <v>0.2</v>
      </c>
      <c r="D7" s="25">
        <v>0.3</v>
      </c>
      <c r="E7" s="25">
        <v>0.2</v>
      </c>
      <c r="F7" s="25">
        <v>0.2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中心总</vt:lpstr>
      <vt:lpstr>二级部门长</vt:lpstr>
      <vt:lpstr>总裁办</vt:lpstr>
      <vt:lpstr>资产板块</vt:lpstr>
      <vt:lpstr>资金板块</vt:lpstr>
      <vt:lpstr>金融科技</vt:lpstr>
      <vt:lpstr>财务中心</vt:lpstr>
      <vt:lpstr>人力资源中心</vt:lpstr>
      <vt:lpstr>内控法务中心</vt:lpstr>
      <vt:lpstr>等级分布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石涛</dc:creator>
  <cp:lastModifiedBy>石涛</cp:lastModifiedBy>
  <cp:lastPrinted>2019-01-03T09:27:24Z</cp:lastPrinted>
  <dcterms:created xsi:type="dcterms:W3CDTF">2019-01-03T07:38:03Z</dcterms:created>
  <dcterms:modified xsi:type="dcterms:W3CDTF">2019-03-25T09:19:58Z</dcterms:modified>
</cp:coreProperties>
</file>