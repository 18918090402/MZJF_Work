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0023 vintage设计\"/>
    </mc:Choice>
  </mc:AlternateContent>
  <bookViews>
    <workbookView xWindow="0" yWindow="0" windowWidth="15360" windowHeight="7575" tabRatio="881"/>
  </bookViews>
  <sheets>
    <sheet name="fact_vintage_snapshot_m" sheetId="1" r:id="rId1"/>
    <sheet name="dim_user_cat" sheetId="3" r:id="rId2"/>
    <sheet name="dim_level_cat" sheetId="4" r:id="rId3"/>
    <sheet name="dim_mob" sheetId="5" r:id="rId4"/>
    <sheet name="dim_expect_cat" sheetId="6" r:id="rId5"/>
    <sheet name="dim_product_cat" sheetId="2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2" i="6"/>
  <c r="D12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2" i="5"/>
  <c r="D3" i="4"/>
  <c r="D4" i="4"/>
  <c r="D5" i="4"/>
  <c r="D6" i="4"/>
  <c r="D7" i="4"/>
  <c r="D8" i="4"/>
  <c r="D2" i="4"/>
  <c r="D3" i="3"/>
  <c r="D2" i="3"/>
  <c r="A17" i="2"/>
  <c r="A18" i="2"/>
  <c r="A19" i="2"/>
  <c r="A20" i="2"/>
  <c r="A21" i="2"/>
  <c r="A22" i="2"/>
  <c r="A23" i="2"/>
  <c r="A24" i="2"/>
  <c r="A25" i="2"/>
  <c r="A26" i="2"/>
  <c r="A27" i="2"/>
  <c r="A28" i="2"/>
  <c r="A16" i="2"/>
</calcChain>
</file>

<file path=xl/sharedStrings.xml><?xml version="1.0" encoding="utf-8"?>
<sst xmlns="http://schemas.openxmlformats.org/spreadsheetml/2006/main" count="476" uniqueCount="396">
  <si>
    <t>bo_id</t>
    <phoneticPr fontId="3" type="noConversion"/>
  </si>
  <si>
    <t>user_id</t>
    <phoneticPr fontId="3" type="noConversion"/>
  </si>
  <si>
    <t>bo_agree_time</t>
    <phoneticPr fontId="3" type="noConversion"/>
  </si>
  <si>
    <t>bo_expect</t>
    <phoneticPr fontId="3" type="noConversion"/>
  </si>
  <si>
    <t>bo_expect_cat</t>
    <phoneticPr fontId="3" type="noConversion"/>
  </si>
  <si>
    <t>is_overdue</t>
    <phoneticPr fontId="3" type="noConversion"/>
  </si>
  <si>
    <t>is_overdue_unrepay</t>
    <phoneticPr fontId="3" type="noConversion"/>
  </si>
  <si>
    <t>unrepay_price_b</t>
    <phoneticPr fontId="3" type="noConversion"/>
  </si>
  <si>
    <t>overdue_unrepay_days</t>
    <phoneticPr fontId="3" type="noConversion"/>
  </si>
  <si>
    <t>bo_success_time</t>
    <phoneticPr fontId="3" type="noConversion"/>
  </si>
  <si>
    <t>期限分类</t>
    <phoneticPr fontId="3" type="noConversion"/>
  </si>
  <si>
    <t>当前逾期未还天数</t>
    <phoneticPr fontId="3" type="noConversion"/>
  </si>
  <si>
    <t>未还本金</t>
    <phoneticPr fontId="3" type="noConversion"/>
  </si>
  <si>
    <t>bo_finish_price</t>
    <phoneticPr fontId="3" type="noConversion"/>
  </si>
  <si>
    <t>放款金额</t>
    <phoneticPr fontId="3" type="noConversion"/>
  </si>
  <si>
    <t>mob</t>
    <phoneticPr fontId="3" type="noConversion"/>
  </si>
  <si>
    <t>帐龄</t>
    <phoneticPr fontId="3" type="noConversion"/>
  </si>
  <si>
    <t>level</t>
    <phoneticPr fontId="3" type="noConversion"/>
  </si>
  <si>
    <t>score</t>
    <phoneticPr fontId="3" type="noConversion"/>
  </si>
  <si>
    <t>等级分类</t>
    <phoneticPr fontId="3" type="noConversion"/>
  </si>
  <si>
    <t>客户分类</t>
    <phoneticPr fontId="3" type="noConversion"/>
  </si>
  <si>
    <t>p_key</t>
    <phoneticPr fontId="3" type="noConversion"/>
  </si>
  <si>
    <t>输出到风控的数据以此作为放款时间</t>
    <phoneticPr fontId="3" type="noConversion"/>
  </si>
  <si>
    <t>产品小类</t>
    <phoneticPr fontId="3" type="noConversion"/>
  </si>
  <si>
    <t>stat_date</t>
    <phoneticPr fontId="3" type="noConversion"/>
  </si>
  <si>
    <t>快照</t>
    <phoneticPr fontId="3" type="noConversion"/>
  </si>
  <si>
    <t>一维</t>
    <phoneticPr fontId="3" type="noConversion"/>
  </si>
  <si>
    <t>三维</t>
    <phoneticPr fontId="3" type="noConversion"/>
  </si>
  <si>
    <t>四维</t>
    <phoneticPr fontId="3" type="noConversion"/>
  </si>
  <si>
    <t>五维</t>
    <phoneticPr fontId="3" type="noConversion"/>
  </si>
  <si>
    <t>bo_finish_time</t>
    <phoneticPr fontId="3" type="noConversion"/>
  </si>
  <si>
    <t>新客户、老客户</t>
    <phoneticPr fontId="3" type="noConversion"/>
  </si>
  <si>
    <t>标的ID</t>
    <phoneticPr fontId="3" type="noConversion"/>
  </si>
  <si>
    <t>用户ID</t>
    <phoneticPr fontId="3" type="noConversion"/>
  </si>
  <si>
    <t>等级</t>
    <phoneticPr fontId="3" type="noConversion"/>
  </si>
  <si>
    <t>得分</t>
    <phoneticPr fontId="3" type="noConversion"/>
  </si>
  <si>
    <t>期限</t>
    <phoneticPr fontId="3" type="noConversion"/>
  </si>
  <si>
    <t>期限单位</t>
    <phoneticPr fontId="3" type="noConversion"/>
  </si>
  <si>
    <t>BIA产品key</t>
    <phoneticPr fontId="3" type="noConversion"/>
  </si>
  <si>
    <t>是否逾期</t>
    <phoneticPr fontId="3" type="noConversion"/>
  </si>
  <si>
    <t>是否逾期未还</t>
    <phoneticPr fontId="3" type="noConversion"/>
  </si>
  <si>
    <t>月分区</t>
    <phoneticPr fontId="3" type="noConversion"/>
  </si>
  <si>
    <t>借款满标时间</t>
    <phoneticPr fontId="3" type="noConversion"/>
  </si>
  <si>
    <t>借款协议生成时间</t>
    <phoneticPr fontId="3" type="noConversion"/>
  </si>
  <si>
    <t>借款放款时间</t>
    <phoneticPr fontId="3" type="noConversion"/>
  </si>
  <si>
    <t>dw_create_by</t>
    <phoneticPr fontId="3" type="noConversion"/>
  </si>
  <si>
    <t>数据创建者</t>
    <phoneticPr fontId="3" type="noConversion"/>
  </si>
  <si>
    <t>dw_create_time</t>
    <phoneticPr fontId="3" type="noConversion"/>
  </si>
  <si>
    <t>数据创建时间</t>
    <phoneticPr fontId="3" type="noConversion"/>
  </si>
  <si>
    <t>string</t>
    <phoneticPr fontId="3" type="noConversion"/>
  </si>
  <si>
    <t>bigint</t>
    <phoneticPr fontId="3" type="noConversion"/>
  </si>
  <si>
    <t>decimal(32,10)</t>
    <phoneticPr fontId="3" type="noConversion"/>
  </si>
  <si>
    <t>int</t>
    <phoneticPr fontId="3" type="noConversion"/>
  </si>
  <si>
    <t>白领包</t>
  </si>
  <si>
    <t>其他大额贷</t>
  </si>
  <si>
    <t>大额借</t>
  </si>
  <si>
    <t>大额借（测试）</t>
  </si>
  <si>
    <t>消费贷</t>
  </si>
  <si>
    <t>消费能力贷</t>
  </si>
  <si>
    <t>学历贷</t>
  </si>
  <si>
    <t>高学历贷</t>
  </si>
  <si>
    <t>信用贷（本）</t>
  </si>
  <si>
    <t>名校贷</t>
  </si>
  <si>
    <t>本科包</t>
  </si>
  <si>
    <t>名校贷应急包</t>
  </si>
  <si>
    <t>信用贷（专）</t>
  </si>
  <si>
    <t>专科包</t>
  </si>
  <si>
    <t>麦芽分期</t>
  </si>
  <si>
    <t>社保贷</t>
  </si>
  <si>
    <t>白领贷</t>
  </si>
  <si>
    <t>麦子借款</t>
  </si>
  <si>
    <t>信用贷</t>
  </si>
  <si>
    <t>学历贷</t>
    <phoneticPr fontId="3" type="noConversion"/>
  </si>
  <si>
    <t>社保贷</t>
    <phoneticPr fontId="3" type="noConversion"/>
  </si>
  <si>
    <t>应届贷</t>
    <phoneticPr fontId="3" type="noConversion"/>
  </si>
  <si>
    <t>高学历贷</t>
    <phoneticPr fontId="3" type="noConversion"/>
  </si>
  <si>
    <t>教育分期</t>
  </si>
  <si>
    <t>医美分期</t>
  </si>
  <si>
    <t>爱美呗分期</t>
  </si>
  <si>
    <t>爱美呗分期(非担保)</t>
  </si>
  <si>
    <t>爱美呗分期(担保)</t>
  </si>
  <si>
    <t>消费贷</t>
    <phoneticPr fontId="3" type="noConversion"/>
  </si>
  <si>
    <t>product_type_cd</t>
    <phoneticPr fontId="3" type="noConversion"/>
  </si>
  <si>
    <t>product_line_cd</t>
    <phoneticPr fontId="3" type="noConversion"/>
  </si>
  <si>
    <t>信用贷（专）</t>
    <phoneticPr fontId="3" type="noConversion"/>
  </si>
  <si>
    <t>product_name</t>
    <phoneticPr fontId="3" type="noConversion"/>
  </si>
  <si>
    <t>信贷类</t>
  </si>
  <si>
    <t>消费金融类</t>
  </si>
  <si>
    <t>信用贷（本）</t>
    <phoneticPr fontId="3" type="noConversion"/>
  </si>
  <si>
    <t>应急包</t>
    <phoneticPr fontId="3" type="noConversion"/>
  </si>
  <si>
    <t>01</t>
    <phoneticPr fontId="3" type="noConversion"/>
  </si>
  <si>
    <t>02</t>
    <phoneticPr fontId="3" type="noConversion"/>
  </si>
  <si>
    <t>0101</t>
    <phoneticPr fontId="3" type="noConversion"/>
  </si>
  <si>
    <t>0102</t>
    <phoneticPr fontId="3" type="noConversion"/>
  </si>
  <si>
    <t>0103</t>
    <phoneticPr fontId="3" type="noConversion"/>
  </si>
  <si>
    <t>0201</t>
    <phoneticPr fontId="3" type="noConversion"/>
  </si>
  <si>
    <t>0202</t>
    <phoneticPr fontId="3" type="noConversion"/>
  </si>
  <si>
    <t>user_type_cd</t>
    <phoneticPr fontId="3" type="noConversion"/>
  </si>
  <si>
    <t>消费能力贷</t>
    <phoneticPr fontId="3" type="noConversion"/>
  </si>
  <si>
    <t>confirm_pass_time</t>
    <phoneticPr fontId="3" type="noConversion"/>
  </si>
  <si>
    <t>string</t>
    <phoneticPr fontId="3" type="noConversion"/>
  </si>
  <si>
    <t>终审通过时间</t>
    <phoneticPr fontId="3" type="noConversion"/>
  </si>
  <si>
    <t>string</t>
    <phoneticPr fontId="3" type="noConversion"/>
  </si>
  <si>
    <t>decimal(32,10)</t>
    <phoneticPr fontId="3" type="noConversion"/>
  </si>
  <si>
    <t>麦子借款</t>
    <phoneticPr fontId="3" type="noConversion"/>
  </si>
  <si>
    <t>爱美呗分期(非担保)</t>
    <phoneticPr fontId="3" type="noConversion"/>
  </si>
  <si>
    <t>爱美呗分期(担保)</t>
    <phoneticPr fontId="3" type="noConversion"/>
  </si>
  <si>
    <t>爱美呗分期</t>
    <phoneticPr fontId="3" type="noConversion"/>
  </si>
  <si>
    <t>string</t>
    <phoneticPr fontId="3" type="noConversion"/>
  </si>
  <si>
    <t>产品名称（区别于BIA）</t>
    <phoneticPr fontId="3" type="noConversion"/>
  </si>
  <si>
    <t>专科包</t>
    <phoneticPr fontId="3" type="noConversion"/>
  </si>
  <si>
    <t>本科包</t>
    <phoneticPr fontId="3" type="noConversion"/>
  </si>
  <si>
    <t>消费贷</t>
    <phoneticPr fontId="3" type="noConversion"/>
  </si>
  <si>
    <t>product_name</t>
    <phoneticPr fontId="3" type="noConversion"/>
  </si>
  <si>
    <t>product_cd</t>
    <phoneticPr fontId="3" type="noConversion"/>
  </si>
  <si>
    <t>010101</t>
    <phoneticPr fontId="3" type="noConversion"/>
  </si>
  <si>
    <t>010102</t>
    <phoneticPr fontId="3" type="noConversion"/>
  </si>
  <si>
    <t>010103</t>
    <phoneticPr fontId="3" type="noConversion"/>
  </si>
  <si>
    <t>010201</t>
    <phoneticPr fontId="3" type="noConversion"/>
  </si>
  <si>
    <t>010202</t>
    <phoneticPr fontId="3" type="noConversion"/>
  </si>
  <si>
    <t>010203</t>
    <phoneticPr fontId="3" type="noConversion"/>
  </si>
  <si>
    <t>010301</t>
    <phoneticPr fontId="3" type="noConversion"/>
  </si>
  <si>
    <t>010302</t>
    <phoneticPr fontId="3" type="noConversion"/>
  </si>
  <si>
    <t>010303</t>
    <phoneticPr fontId="3" type="noConversion"/>
  </si>
  <si>
    <t>020101</t>
    <phoneticPr fontId="3" type="noConversion"/>
  </si>
  <si>
    <t>020102</t>
    <phoneticPr fontId="3" type="noConversion"/>
  </si>
  <si>
    <t>020201</t>
    <phoneticPr fontId="3" type="noConversion"/>
  </si>
  <si>
    <t>020202</t>
    <phoneticPr fontId="3" type="noConversion"/>
  </si>
  <si>
    <t>product_line_name</t>
    <phoneticPr fontId="3" type="noConversion"/>
  </si>
  <si>
    <t>expect_type</t>
    <phoneticPr fontId="3" type="noConversion"/>
  </si>
  <si>
    <t>level_type</t>
    <phoneticPr fontId="3" type="noConversion"/>
  </si>
  <si>
    <t>product_cd</t>
    <phoneticPr fontId="3" type="noConversion"/>
  </si>
  <si>
    <t>名校贷应急包</t>
    <phoneticPr fontId="3" type="noConversion"/>
  </si>
  <si>
    <t>大额借</t>
    <phoneticPr fontId="3" type="noConversion"/>
  </si>
  <si>
    <t>学历贷</t>
    <phoneticPr fontId="3" type="noConversion"/>
  </si>
  <si>
    <t>白领包</t>
    <phoneticPr fontId="3" type="noConversion"/>
  </si>
  <si>
    <t>社保贷</t>
    <phoneticPr fontId="3" type="noConversion"/>
  </si>
  <si>
    <t>应届贷</t>
    <phoneticPr fontId="3" type="noConversion"/>
  </si>
  <si>
    <t>product_type_name</t>
    <phoneticPr fontId="3" type="noConversion"/>
  </si>
  <si>
    <t>信贷类 product_name 是业务线的产品名称</t>
    <phoneticPr fontId="3" type="noConversion"/>
  </si>
  <si>
    <t>product_name 是bia p_name</t>
    <phoneticPr fontId="3" type="noConversion"/>
  </si>
  <si>
    <t>string</t>
  </si>
  <si>
    <t>bo_id</t>
  </si>
  <si>
    <t>user_id</t>
  </si>
  <si>
    <t>bigint</t>
  </si>
  <si>
    <t>标的ID</t>
  </si>
  <si>
    <t>用户ID</t>
  </si>
  <si>
    <t>string</t>
    <phoneticPr fontId="3" type="noConversion"/>
  </si>
  <si>
    <t>bo_finish_month</t>
    <phoneticPr fontId="3" type="noConversion"/>
  </si>
  <si>
    <t>bo_finish_price</t>
    <phoneticPr fontId="3" type="noConversion"/>
  </si>
  <si>
    <t>mob</t>
  </si>
  <si>
    <t>expect_type</t>
  </si>
  <si>
    <t>p_key</t>
  </si>
  <si>
    <t>int</t>
  </si>
  <si>
    <t>stat_month</t>
    <phoneticPr fontId="3" type="noConversion"/>
  </si>
  <si>
    <t>统计年月 年-月</t>
    <phoneticPr fontId="3" type="noConversion"/>
  </si>
  <si>
    <t>dpd1+未还本金</t>
    <phoneticPr fontId="3" type="noConversion"/>
  </si>
  <si>
    <t>dpd10+未还本金</t>
    <phoneticPr fontId="3" type="noConversion"/>
  </si>
  <si>
    <t>dpd30+未还本金</t>
    <phoneticPr fontId="3" type="noConversion"/>
  </si>
  <si>
    <t>dpd60+未还本金</t>
    <phoneticPr fontId="3" type="noConversion"/>
  </si>
  <si>
    <t>dpd90+未还本金</t>
    <phoneticPr fontId="3" type="noConversion"/>
  </si>
  <si>
    <t>dim</t>
    <phoneticPr fontId="3" type="noConversion"/>
  </si>
  <si>
    <t>客户类型</t>
    <phoneticPr fontId="3" type="noConversion"/>
  </si>
  <si>
    <t>客户等级</t>
    <phoneticPr fontId="3" type="noConversion"/>
  </si>
  <si>
    <t>MOB</t>
    <phoneticPr fontId="3" type="noConversion"/>
  </si>
  <si>
    <t>产品期限</t>
    <phoneticPr fontId="3" type="noConversion"/>
  </si>
  <si>
    <t>p_key</t>
    <phoneticPr fontId="3" type="noConversion"/>
  </si>
  <si>
    <t>产品小类编码</t>
    <phoneticPr fontId="3" type="noConversion"/>
  </si>
  <si>
    <t>放款时间</t>
    <phoneticPr fontId="3" type="noConversion"/>
  </si>
  <si>
    <t>mob</t>
    <phoneticPr fontId="3" type="noConversion"/>
  </si>
  <si>
    <t>mob_desc</t>
    <phoneticPr fontId="3" type="noConversion"/>
  </si>
  <si>
    <t>mob1</t>
    <phoneticPr fontId="3" type="noConversion"/>
  </si>
  <si>
    <t>mob2</t>
  </si>
  <si>
    <t>mob3</t>
  </si>
  <si>
    <t>mob4</t>
  </si>
  <si>
    <t>mob5</t>
  </si>
  <si>
    <t>mob6</t>
  </si>
  <si>
    <t>mob7</t>
  </si>
  <si>
    <t>mob8</t>
  </si>
  <si>
    <t>mob9</t>
  </si>
  <si>
    <t>mob10</t>
  </si>
  <si>
    <t>mob11</t>
  </si>
  <si>
    <t>mob12</t>
  </si>
  <si>
    <t>mob13</t>
  </si>
  <si>
    <t>mob14</t>
  </si>
  <si>
    <t>mob15</t>
  </si>
  <si>
    <t>mob16</t>
  </si>
  <si>
    <t>mob17</t>
  </si>
  <si>
    <t>mob18</t>
  </si>
  <si>
    <t>mob19</t>
  </si>
  <si>
    <t>mob20</t>
  </si>
  <si>
    <t>mob21</t>
  </si>
  <si>
    <t>mob22</t>
  </si>
  <si>
    <t>mob23</t>
  </si>
  <si>
    <t>mob24</t>
  </si>
  <si>
    <t>mob25</t>
  </si>
  <si>
    <t>mob26</t>
  </si>
  <si>
    <t>mob27</t>
  </si>
  <si>
    <t>mob28</t>
  </si>
  <si>
    <t>mob29</t>
  </si>
  <si>
    <t>mob30</t>
  </si>
  <si>
    <t>mob31</t>
  </si>
  <si>
    <t>mob32</t>
  </si>
  <si>
    <t>mob33</t>
  </si>
  <si>
    <t>mob34</t>
  </si>
  <si>
    <t>mob35</t>
  </si>
  <si>
    <t>mob36</t>
  </si>
  <si>
    <t>mob37</t>
  </si>
  <si>
    <t>mob38</t>
  </si>
  <si>
    <t>mob39</t>
  </si>
  <si>
    <t>mob40</t>
  </si>
  <si>
    <t>mob41</t>
  </si>
  <si>
    <t>mob42</t>
  </si>
  <si>
    <t>mob43</t>
  </si>
  <si>
    <t>mob44</t>
  </si>
  <si>
    <t>mob45</t>
  </si>
  <si>
    <t>mob46</t>
  </si>
  <si>
    <t>mob47</t>
  </si>
  <si>
    <t>mob48</t>
  </si>
  <si>
    <t>mob49</t>
  </si>
  <si>
    <t>mob50</t>
  </si>
  <si>
    <t>mob51</t>
  </si>
  <si>
    <t>mob52</t>
  </si>
  <si>
    <t>mob53</t>
  </si>
  <si>
    <t>mob54</t>
  </si>
  <si>
    <t>mob55</t>
  </si>
  <si>
    <t>mob56</t>
  </si>
  <si>
    <t>mob57</t>
  </si>
  <si>
    <t>mob58</t>
  </si>
  <si>
    <t>mob59</t>
  </si>
  <si>
    <t>mob60</t>
  </si>
  <si>
    <t>mob61</t>
  </si>
  <si>
    <t>mob62</t>
  </si>
  <si>
    <t>mob63</t>
  </si>
  <si>
    <t>mob64</t>
  </si>
  <si>
    <t>mob65</t>
  </si>
  <si>
    <t>mob66</t>
  </si>
  <si>
    <t>mob67</t>
  </si>
  <si>
    <t>mob68</t>
  </si>
  <si>
    <t>mob69</t>
  </si>
  <si>
    <t>mob70</t>
  </si>
  <si>
    <t>mob71</t>
  </si>
  <si>
    <t>mob72</t>
  </si>
  <si>
    <t>mob73</t>
  </si>
  <si>
    <t>mob74</t>
  </si>
  <si>
    <t>mob75</t>
  </si>
  <si>
    <t>mob76</t>
  </si>
  <si>
    <t>mob77</t>
  </si>
  <si>
    <t>mob78</t>
  </si>
  <si>
    <t>mob79</t>
  </si>
  <si>
    <t>mob80</t>
  </si>
  <si>
    <t>mob81</t>
  </si>
  <si>
    <t>mob82</t>
  </si>
  <si>
    <t>mob83</t>
  </si>
  <si>
    <t>mob84</t>
  </si>
  <si>
    <t>mob85</t>
  </si>
  <si>
    <t>mob86</t>
  </si>
  <si>
    <t>mob87</t>
  </si>
  <si>
    <t>mob88</t>
  </si>
  <si>
    <t>mob89</t>
  </si>
  <si>
    <t>mob90</t>
  </si>
  <si>
    <t>mob91</t>
  </si>
  <si>
    <t>mob92</t>
  </si>
  <si>
    <t>mob93</t>
  </si>
  <si>
    <t>mob94</t>
  </si>
  <si>
    <t>mob95</t>
  </si>
  <si>
    <t>mob96</t>
  </si>
  <si>
    <t>mob97</t>
  </si>
  <si>
    <t>mob98</t>
  </si>
  <si>
    <t>mob99</t>
  </si>
  <si>
    <t>mob100</t>
  </si>
  <si>
    <t>mob101</t>
  </si>
  <si>
    <t>mob102</t>
  </si>
  <si>
    <t>mob103</t>
  </si>
  <si>
    <t>mob104</t>
  </si>
  <si>
    <t>mob105</t>
  </si>
  <si>
    <t>mob106</t>
  </si>
  <si>
    <t>mob107</t>
  </si>
  <si>
    <t>mob108</t>
  </si>
  <si>
    <t>mob109</t>
  </si>
  <si>
    <t>mob110</t>
  </si>
  <si>
    <t>mob111</t>
  </si>
  <si>
    <t>mob112</t>
  </si>
  <si>
    <t>mob113</t>
  </si>
  <si>
    <t>mob114</t>
  </si>
  <si>
    <t>mob115</t>
  </si>
  <si>
    <t>mob116</t>
  </si>
  <si>
    <t>mob117</t>
  </si>
  <si>
    <t>mob118</t>
  </si>
  <si>
    <t>mob119</t>
  </si>
  <si>
    <t>mob120</t>
  </si>
  <si>
    <t>mob0</t>
    <phoneticPr fontId="3" type="noConversion"/>
  </si>
  <si>
    <t>expect_type</t>
    <phoneticPr fontId="3" type="noConversion"/>
  </si>
  <si>
    <t>user_type</t>
    <phoneticPr fontId="3" type="noConversion"/>
  </si>
  <si>
    <t>level_type</t>
    <phoneticPr fontId="3" type="noConversion"/>
  </si>
  <si>
    <t>product_cd</t>
    <phoneticPr fontId="3" type="noConversion"/>
  </si>
  <si>
    <t>user_type</t>
    <phoneticPr fontId="3" type="noConversion"/>
  </si>
  <si>
    <t>user_type_desc</t>
    <phoneticPr fontId="3" type="noConversion"/>
  </si>
  <si>
    <t>level_type</t>
    <phoneticPr fontId="3" type="noConversion"/>
  </si>
  <si>
    <t>level_type_desc</t>
    <phoneticPr fontId="3" type="noConversion"/>
  </si>
  <si>
    <t>expect_type_desc</t>
    <phoneticPr fontId="3" type="noConversion"/>
  </si>
  <si>
    <t>24</t>
  </si>
  <si>
    <t>36</t>
  </si>
  <si>
    <t>6期</t>
  </si>
  <si>
    <t>12期</t>
  </si>
  <si>
    <t>24期</t>
  </si>
  <si>
    <t>36期</t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</si>
  <si>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</si>
  <si>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</si>
  <si>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</si>
  <si>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</si>
  <si>
    <t>E</t>
    <phoneticPr fontId="3" type="noConversion"/>
  </si>
  <si>
    <t>F</t>
    <phoneticPr fontId="3" type="noConversion"/>
  </si>
  <si>
    <t>其他</t>
    <phoneticPr fontId="3" type="noConversion"/>
  </si>
  <si>
    <t>A等级</t>
    <phoneticPr fontId="3" type="noConversion"/>
  </si>
  <si>
    <t>B等级</t>
    <phoneticPr fontId="3" type="noConversion"/>
  </si>
  <si>
    <t>C等级</t>
    <phoneticPr fontId="3" type="noConversion"/>
  </si>
  <si>
    <t>D等级</t>
    <phoneticPr fontId="3" type="noConversion"/>
  </si>
  <si>
    <t>E等级</t>
    <phoneticPr fontId="3" type="noConversion"/>
  </si>
  <si>
    <t>F等级</t>
    <phoneticPr fontId="3" type="noConversion"/>
  </si>
  <si>
    <t>其他等级</t>
    <phoneticPr fontId="3" type="noConversion"/>
  </si>
  <si>
    <t>1</t>
    <phoneticPr fontId="3" type="noConversion"/>
  </si>
  <si>
    <t>2</t>
    <phoneticPr fontId="3" type="noConversion"/>
  </si>
  <si>
    <t>4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</si>
  <si>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</si>
  <si>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</si>
  <si>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</si>
  <si>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</si>
  <si>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</si>
  <si>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</si>
  <si>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</si>
  <si>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</si>
  <si>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</si>
  <si>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</si>
  <si>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</si>
  <si>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</si>
  <si>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</si>
  <si>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</si>
  <si>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</si>
  <si>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</si>
  <si>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</si>
  <si>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</si>
  <si>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</si>
  <si>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</si>
  <si>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</si>
  <si>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</si>
  <si>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</si>
  <si>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</si>
  <si>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</si>
  <si>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</si>
  <si>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</si>
  <si>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</si>
  <si>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</si>
  <si>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</si>
  <si>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1期</t>
    <phoneticPr fontId="3" type="noConversion"/>
  </si>
  <si>
    <t>8期</t>
  </si>
  <si>
    <t>9期</t>
  </si>
  <si>
    <t>10期</t>
  </si>
  <si>
    <t>11期</t>
  </si>
  <si>
    <t>13期</t>
  </si>
  <si>
    <t>14期</t>
  </si>
  <si>
    <t>15期</t>
  </si>
  <si>
    <t>16期</t>
  </si>
  <si>
    <t>17期</t>
  </si>
  <si>
    <t>18期</t>
  </si>
  <si>
    <t>19期</t>
  </si>
  <si>
    <t>20期</t>
  </si>
  <si>
    <t>2期</t>
  </si>
  <si>
    <t>3期</t>
  </si>
  <si>
    <t>4期</t>
  </si>
  <si>
    <t>5期</t>
  </si>
  <si>
    <t>7期</t>
  </si>
  <si>
    <t>21期</t>
  </si>
  <si>
    <t>22期</t>
  </si>
  <si>
    <t>23期</t>
  </si>
  <si>
    <t>25期</t>
  </si>
  <si>
    <t>26期</t>
  </si>
  <si>
    <t>27期</t>
  </si>
  <si>
    <t>28期</t>
  </si>
  <si>
    <t>29期</t>
  </si>
  <si>
    <t>30期</t>
  </si>
  <si>
    <t>31期</t>
  </si>
  <si>
    <t>32期</t>
  </si>
  <si>
    <t>33期</t>
  </si>
  <si>
    <t>34期</t>
  </si>
  <si>
    <t>35期</t>
  </si>
  <si>
    <t>其他期限</t>
    <phoneticPr fontId="3" type="noConversion"/>
  </si>
  <si>
    <t>dpd1_unrepay_price_b</t>
    <phoneticPr fontId="3" type="noConversion"/>
  </si>
  <si>
    <t>dpd10_unrepay_price_b</t>
    <phoneticPr fontId="3" type="noConversion"/>
  </si>
  <si>
    <t>dpd30_unrepay_price_b</t>
    <phoneticPr fontId="3" type="noConversion"/>
  </si>
  <si>
    <t>dpd60_unrepay_price_b</t>
    <phoneticPr fontId="3" type="noConversion"/>
  </si>
  <si>
    <t>dpd90_unrepay_price_b</t>
    <phoneticPr fontId="3" type="noConversion"/>
  </si>
  <si>
    <t>decimal(38,10)</t>
    <phoneticPr fontId="3" type="noConversion"/>
  </si>
  <si>
    <t>decimal(38,10)</t>
    <phoneticPr fontId="3" type="noConversion"/>
  </si>
  <si>
    <t>新客</t>
    <phoneticPr fontId="3" type="noConversion"/>
  </si>
  <si>
    <t>老客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</si>
</sst>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9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sz val="10"/>
      <color rgb="FF424242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center" vertical="center"/>
    </xf>
    <xf numFmtId="0" fontId="1" fillId="0" borderId="0" xfId="0" applyFont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/>
    </xf>
    <xf numFmtId="0" fontId="0" fillId="3" borderId="0" xfId="0" applyFill="1" applyBorder="1" applyAlignment="1">
      <alignment horizontal="center" vertical="center"/>
    </xf>
    <xf numFmtId="0" fontId="0" fillId="4" borderId="0" xfId="0" applyFill="1" applyBorder="1">
      <alignment vertical="center"/>
    </xf>
    <xf numFmtId="0" fontId="2" fillId="4" borderId="0" xfId="0" applyFont="1" applyFill="1">
      <alignment vertical="center"/>
    </xf>
    <xf numFmtId="0" fontId="4" fillId="4" borderId="0" xfId="0" applyFont="1" applyFill="1">
      <alignment vertical="center"/>
    </xf>
    <xf numFmtId="49" fontId="0" fillId="0" borderId="0" xfId="0" applyNumberFormat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49" fontId="0" fillId="0" borderId="0" xfId="0" applyNumberFormat="1" applyBorder="1" applyAlignment="1">
      <alignment horizontal="left" vertical="center"/>
    </xf>
    <xf numFmtId="49" fontId="0" fillId="0" borderId="0" xfId="0" applyNumberFormat="1" applyBorder="1" applyAlignment="1">
      <alignment horizontal="left"/>
    </xf>
    <xf numFmtId="49" fontId="0" fillId="2" borderId="0" xfId="0" applyNumberFormat="1" applyFill="1">
      <alignment vertical="center"/>
    </xf>
    <xf numFmtId="0" fontId="1" fillId="2" borderId="0" xfId="0" applyFont="1" applyFill="1">
      <alignment vertical="center"/>
    </xf>
    <xf numFmtId="0" fontId="0" fillId="2" borderId="1" xfId="0" applyFill="1" applyBorder="1" applyAlignment="1">
      <alignment horizontal="left" vertical="center"/>
    </xf>
    <xf numFmtId="0" fontId="0" fillId="4" borderId="0" xfId="0" applyFont="1" applyFill="1">
      <alignment vertical="center"/>
    </xf>
    <xf numFmtId="49" fontId="0" fillId="0" borderId="0" xfId="0" applyNumberFormat="1" applyFill="1" applyBorder="1" applyAlignment="1">
      <alignment horizontal="left" vertical="center"/>
    </xf>
    <xf numFmtId="49" fontId="0" fillId="0" borderId="0" xfId="0" applyNumberFormat="1" applyFill="1" applyBorder="1">
      <alignment vertical="center"/>
    </xf>
    <xf numFmtId="49" fontId="0" fillId="0" borderId="2" xfId="0" applyNumberFormat="1" applyFill="1" applyBorder="1">
      <alignment vertical="center"/>
    </xf>
    <xf numFmtId="49" fontId="0" fillId="0" borderId="0" xfId="0" applyNumberFormat="1" applyAlignment="1">
      <alignment horizontal="center" vertical="center"/>
    </xf>
    <xf numFmtId="0" fontId="5" fillId="0" borderId="0" xfId="1">
      <alignment vertic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tabSelected="1" workbookViewId="0">
      <selection activeCell="I13" sqref="I13"/>
    </sheetView>
  </sheetViews>
  <sheetFormatPr defaultRowHeight="16.5" x14ac:dyDescent="0.35"/>
  <cols>
    <col min="1" max="2" width="22" customWidth="1"/>
    <col min="3" max="3" width="19.75" bestFit="1" customWidth="1"/>
    <col min="4" max="4" width="37" customWidth="1"/>
    <col min="7" max="7" width="22.25" bestFit="1" customWidth="1"/>
    <col min="8" max="8" width="13" bestFit="1" customWidth="1"/>
    <col min="9" max="9" width="19.75" bestFit="1" customWidth="1"/>
    <col min="11" max="11" width="15.875" customWidth="1"/>
  </cols>
  <sheetData>
    <row r="1" spans="1:10" x14ac:dyDescent="0.35">
      <c r="A1" s="5" t="s">
        <v>45</v>
      </c>
      <c r="B1" t="s">
        <v>49</v>
      </c>
      <c r="C1" t="s">
        <v>46</v>
      </c>
      <c r="G1" t="s">
        <v>142</v>
      </c>
      <c r="H1" t="s">
        <v>144</v>
      </c>
      <c r="I1" t="s">
        <v>145</v>
      </c>
    </row>
    <row r="2" spans="1:10" x14ac:dyDescent="0.35">
      <c r="A2" s="5" t="s">
        <v>47</v>
      </c>
      <c r="B2" t="s">
        <v>49</v>
      </c>
      <c r="C2" t="s">
        <v>48</v>
      </c>
      <c r="G2" t="s">
        <v>143</v>
      </c>
      <c r="H2" t="s">
        <v>144</v>
      </c>
      <c r="I2" t="s">
        <v>146</v>
      </c>
    </row>
    <row r="3" spans="1:10" x14ac:dyDescent="0.35">
      <c r="A3" s="5" t="s">
        <v>0</v>
      </c>
      <c r="B3" t="s">
        <v>50</v>
      </c>
      <c r="C3" t="s">
        <v>32</v>
      </c>
      <c r="E3" s="2"/>
      <c r="G3" t="s">
        <v>148</v>
      </c>
      <c r="H3" t="s">
        <v>147</v>
      </c>
      <c r="I3" t="s">
        <v>168</v>
      </c>
    </row>
    <row r="4" spans="1:10" x14ac:dyDescent="0.35">
      <c r="A4" s="5" t="s">
        <v>1</v>
      </c>
      <c r="B4" t="s">
        <v>50</v>
      </c>
      <c r="C4" t="s">
        <v>33</v>
      </c>
      <c r="E4" s="2"/>
      <c r="G4" t="s">
        <v>149</v>
      </c>
      <c r="H4" t="s">
        <v>392</v>
      </c>
      <c r="I4" t="s">
        <v>14</v>
      </c>
    </row>
    <row r="5" spans="1:10" x14ac:dyDescent="0.35">
      <c r="A5" s="5" t="s">
        <v>97</v>
      </c>
      <c r="B5" t="s">
        <v>49</v>
      </c>
      <c r="C5" t="s">
        <v>20</v>
      </c>
      <c r="D5" t="s">
        <v>31</v>
      </c>
      <c r="E5" s="3" t="s">
        <v>27</v>
      </c>
      <c r="G5" s="29" t="s">
        <v>293</v>
      </c>
      <c r="H5" t="s">
        <v>141</v>
      </c>
      <c r="I5" t="s">
        <v>162</v>
      </c>
      <c r="J5" t="s">
        <v>161</v>
      </c>
    </row>
    <row r="6" spans="1:10" x14ac:dyDescent="0.35">
      <c r="A6" s="5" t="s">
        <v>17</v>
      </c>
      <c r="B6" t="s">
        <v>49</v>
      </c>
      <c r="C6" t="s">
        <v>34</v>
      </c>
      <c r="E6" s="2"/>
      <c r="G6" s="29" t="s">
        <v>294</v>
      </c>
      <c r="H6" t="s">
        <v>141</v>
      </c>
      <c r="I6" t="s">
        <v>163</v>
      </c>
      <c r="J6" t="s">
        <v>161</v>
      </c>
    </row>
    <row r="7" spans="1:10" x14ac:dyDescent="0.35">
      <c r="A7" s="5" t="s">
        <v>18</v>
      </c>
      <c r="B7" t="s">
        <v>49</v>
      </c>
      <c r="C7" t="s">
        <v>35</v>
      </c>
      <c r="E7" s="2"/>
      <c r="G7" s="29" t="s">
        <v>150</v>
      </c>
      <c r="H7" t="s">
        <v>141</v>
      </c>
      <c r="I7" t="s">
        <v>164</v>
      </c>
      <c r="J7" t="s">
        <v>161</v>
      </c>
    </row>
    <row r="8" spans="1:10" x14ac:dyDescent="0.35">
      <c r="A8" s="13" t="s">
        <v>130</v>
      </c>
      <c r="B8" t="s">
        <v>49</v>
      </c>
      <c r="C8" t="s">
        <v>19</v>
      </c>
      <c r="E8" s="3" t="s">
        <v>28</v>
      </c>
      <c r="G8" s="29" t="s">
        <v>292</v>
      </c>
      <c r="H8" t="s">
        <v>141</v>
      </c>
      <c r="I8" t="s">
        <v>165</v>
      </c>
      <c r="J8" t="s">
        <v>161</v>
      </c>
    </row>
    <row r="9" spans="1:10" x14ac:dyDescent="0.35">
      <c r="A9" s="5" t="s">
        <v>99</v>
      </c>
      <c r="B9" t="s">
        <v>100</v>
      </c>
      <c r="C9" t="s">
        <v>101</v>
      </c>
      <c r="E9" s="11"/>
      <c r="G9" t="s">
        <v>152</v>
      </c>
      <c r="H9" t="s">
        <v>153</v>
      </c>
      <c r="I9" t="s">
        <v>166</v>
      </c>
      <c r="J9" t="s">
        <v>161</v>
      </c>
    </row>
    <row r="10" spans="1:10" x14ac:dyDescent="0.35">
      <c r="A10" s="5" t="s">
        <v>2</v>
      </c>
      <c r="B10" t="s">
        <v>49</v>
      </c>
      <c r="C10" t="s">
        <v>43</v>
      </c>
      <c r="D10" t="s">
        <v>22</v>
      </c>
      <c r="E10" s="2"/>
      <c r="G10" s="29" t="s">
        <v>295</v>
      </c>
      <c r="H10" t="s">
        <v>141</v>
      </c>
      <c r="I10" t="s">
        <v>167</v>
      </c>
      <c r="J10" t="s">
        <v>161</v>
      </c>
    </row>
    <row r="11" spans="1:10" x14ac:dyDescent="0.35">
      <c r="A11" s="5" t="s">
        <v>30</v>
      </c>
      <c r="B11" t="s">
        <v>102</v>
      </c>
      <c r="C11" t="s">
        <v>42</v>
      </c>
      <c r="E11" s="2"/>
      <c r="G11" t="s">
        <v>387</v>
      </c>
      <c r="H11" t="s">
        <v>393</v>
      </c>
      <c r="I11" t="s">
        <v>156</v>
      </c>
    </row>
    <row r="12" spans="1:10" x14ac:dyDescent="0.35">
      <c r="A12" s="12" t="s">
        <v>9</v>
      </c>
      <c r="B12" t="s">
        <v>102</v>
      </c>
      <c r="C12" t="s">
        <v>44</v>
      </c>
      <c r="E12" s="2"/>
      <c r="G12" t="s">
        <v>388</v>
      </c>
      <c r="H12" t="s">
        <v>393</v>
      </c>
      <c r="I12" t="s">
        <v>157</v>
      </c>
    </row>
    <row r="13" spans="1:10" x14ac:dyDescent="0.35">
      <c r="A13" s="14" t="s">
        <v>13</v>
      </c>
      <c r="B13" t="s">
        <v>103</v>
      </c>
      <c r="C13" t="s">
        <v>14</v>
      </c>
      <c r="E13" s="2"/>
      <c r="G13" t="s">
        <v>389</v>
      </c>
      <c r="H13" t="s">
        <v>393</v>
      </c>
      <c r="I13" t="s">
        <v>158</v>
      </c>
    </row>
    <row r="14" spans="1:10" x14ac:dyDescent="0.35">
      <c r="A14" s="5" t="s">
        <v>15</v>
      </c>
      <c r="B14" t="s">
        <v>49</v>
      </c>
      <c r="C14" t="s">
        <v>16</v>
      </c>
      <c r="E14" s="2"/>
      <c r="G14" t="s">
        <v>390</v>
      </c>
      <c r="H14" t="s">
        <v>393</v>
      </c>
      <c r="I14" t="s">
        <v>159</v>
      </c>
    </row>
    <row r="15" spans="1:10" x14ac:dyDescent="0.35">
      <c r="A15" s="5" t="s">
        <v>3</v>
      </c>
      <c r="B15" t="s">
        <v>52</v>
      </c>
      <c r="C15" t="s">
        <v>36</v>
      </c>
      <c r="E15" s="2"/>
      <c r="G15" t="s">
        <v>391</v>
      </c>
      <c r="H15" t="s">
        <v>393</v>
      </c>
      <c r="I15" t="s">
        <v>160</v>
      </c>
    </row>
    <row r="16" spans="1:10" x14ac:dyDescent="0.35">
      <c r="A16" s="5" t="s">
        <v>4</v>
      </c>
      <c r="B16" t="s">
        <v>52</v>
      </c>
      <c r="C16" t="s">
        <v>37</v>
      </c>
      <c r="E16" s="2"/>
      <c r="G16" t="s">
        <v>154</v>
      </c>
      <c r="H16" t="s">
        <v>141</v>
      </c>
      <c r="I16" t="s">
        <v>155</v>
      </c>
    </row>
    <row r="17" spans="1:5" x14ac:dyDescent="0.35">
      <c r="A17" s="13" t="s">
        <v>129</v>
      </c>
      <c r="B17" t="s">
        <v>49</v>
      </c>
      <c r="C17" t="s">
        <v>10</v>
      </c>
      <c r="E17" s="3" t="s">
        <v>29</v>
      </c>
    </row>
    <row r="18" spans="1:5" x14ac:dyDescent="0.35">
      <c r="A18" s="13" t="s">
        <v>21</v>
      </c>
      <c r="B18" t="s">
        <v>52</v>
      </c>
      <c r="C18" t="s">
        <v>38</v>
      </c>
      <c r="E18" s="3" t="s">
        <v>26</v>
      </c>
    </row>
    <row r="19" spans="1:5" x14ac:dyDescent="0.35">
      <c r="A19" s="24" t="s">
        <v>131</v>
      </c>
      <c r="B19" t="s">
        <v>108</v>
      </c>
      <c r="C19" t="s">
        <v>109</v>
      </c>
      <c r="E19" s="11"/>
    </row>
    <row r="20" spans="1:5" x14ac:dyDescent="0.35">
      <c r="A20" s="5" t="s">
        <v>5</v>
      </c>
      <c r="B20" t="s">
        <v>49</v>
      </c>
      <c r="C20" t="s">
        <v>39</v>
      </c>
      <c r="E20" s="2"/>
    </row>
    <row r="21" spans="1:5" x14ac:dyDescent="0.35">
      <c r="A21" s="5" t="s">
        <v>6</v>
      </c>
      <c r="B21" t="s">
        <v>49</v>
      </c>
      <c r="C21" t="s">
        <v>40</v>
      </c>
      <c r="E21" s="2"/>
    </row>
    <row r="22" spans="1:5" x14ac:dyDescent="0.35">
      <c r="A22" s="14" t="s">
        <v>8</v>
      </c>
      <c r="B22" t="s">
        <v>52</v>
      </c>
      <c r="C22" t="s">
        <v>11</v>
      </c>
      <c r="E22" s="2"/>
    </row>
    <row r="23" spans="1:5" x14ac:dyDescent="0.35">
      <c r="A23" s="14" t="s">
        <v>7</v>
      </c>
      <c r="B23" t="s">
        <v>51</v>
      </c>
      <c r="C23" t="s">
        <v>12</v>
      </c>
      <c r="E23" s="2"/>
    </row>
    <row r="24" spans="1:5" x14ac:dyDescent="0.35">
      <c r="A24" s="5" t="s">
        <v>24</v>
      </c>
      <c r="B24" t="s">
        <v>49</v>
      </c>
      <c r="C24" t="s">
        <v>25</v>
      </c>
      <c r="D24" t="s">
        <v>41</v>
      </c>
      <c r="E24" s="2"/>
    </row>
  </sheetData>
  <phoneticPr fontId="3" type="noConversion"/>
  <hyperlinks>
    <hyperlink ref="G5" location="dim_user_cat!A1" display="user_type"/>
    <hyperlink ref="G6" location="dim_level_cat!A1" display="level_type"/>
    <hyperlink ref="G7" location="dim_mob!A1" display="mob"/>
    <hyperlink ref="G8" location="dim_expect_cat!A1" display="expect_type"/>
    <hyperlink ref="G10" location="dim_product_cat!A1" display="product_c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activeCell="B5" sqref="B5"/>
    </sheetView>
  </sheetViews>
  <sheetFormatPr defaultRowHeight="16.5" x14ac:dyDescent="0.35"/>
  <cols>
    <col min="1" max="1" width="11.625" bestFit="1" customWidth="1"/>
    <col min="2" max="2" width="13.5" bestFit="1" customWidth="1"/>
    <col min="4" max="4" width="44.25" bestFit="1" customWidth="1"/>
  </cols>
  <sheetData>
    <row r="1" spans="1:4" x14ac:dyDescent="0.35">
      <c r="A1" t="s">
        <v>296</v>
      </c>
      <c r="B1" t="s">
        <v>297</v>
      </c>
    </row>
    <row r="2" spans="1:4" x14ac:dyDescent="0.35">
      <c r="A2" s="15">
        <v>0</v>
      </c>
      <c r="B2" t="s">
        <v>394</v>
      </c>
      <c r="D2" t="str">
        <f>"insert into dw_srm.dim_user_cat values ('"&amp;A2&amp;"','"&amp;B2&amp;"');"</f>
        <v>insert into dw_srm.dim_user_cat values ('0','新客');</v>
      </c>
    </row>
    <row r="3" spans="1:4" x14ac:dyDescent="0.35">
      <c r="A3" s="15">
        <v>1</v>
      </c>
      <c r="B3" t="s">
        <v>395</v>
      </c>
      <c r="D3" t="str">
        <f>"insert into dw_srm.dim_user_cat values ('"&amp;A3&amp;"','"&amp;B3&amp;"');"</f>
        <v>insert into dw_srm.dim_user_cat values ('1','老客');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D12" sqref="D12"/>
    </sheetView>
  </sheetViews>
  <sheetFormatPr defaultRowHeight="16.5" x14ac:dyDescent="0.35"/>
  <cols>
    <col min="1" max="1" width="11.75" bestFit="1" customWidth="1"/>
    <col min="2" max="2" width="14.375" bestFit="1" customWidth="1"/>
    <col min="4" max="4" width="47.375" customWidth="1"/>
  </cols>
  <sheetData>
    <row r="1" spans="1:4" x14ac:dyDescent="0.35">
      <c r="A1" t="s">
        <v>298</v>
      </c>
      <c r="B1" t="s">
        <v>299</v>
      </c>
    </row>
    <row r="2" spans="1:4" x14ac:dyDescent="0.35">
      <c r="A2" t="s">
        <v>307</v>
      </c>
      <c r="B2" t="s">
        <v>314</v>
      </c>
      <c r="D2" t="str">
        <f>"insert into dw_srm.dim_level_cat values ('"&amp;A2&amp;"','"&amp;B2&amp;"');"</f>
        <v>insert into dw_srm.dim_level_cat values ('A','A等级');</v>
      </c>
    </row>
    <row r="3" spans="1:4" x14ac:dyDescent="0.35">
      <c r="A3" t="s">
        <v>308</v>
      </c>
      <c r="B3" t="s">
        <v>315</v>
      </c>
      <c r="D3" t="str">
        <f t="shared" ref="D3:D8" si="0">"insert into dw_srm.dim_level_cat values ('"&amp;A3&amp;"','"&amp;B3&amp;"');"</f>
        <v>insert into dw_srm.dim_level_cat values ('B','B等级');</v>
      </c>
    </row>
    <row r="4" spans="1:4" x14ac:dyDescent="0.35">
      <c r="A4" t="s">
        <v>309</v>
      </c>
      <c r="B4" t="s">
        <v>316</v>
      </c>
      <c r="D4" t="str">
        <f t="shared" si="0"/>
        <v>insert into dw_srm.dim_level_cat values ('C','C等级');</v>
      </c>
    </row>
    <row r="5" spans="1:4" x14ac:dyDescent="0.35">
      <c r="A5" t="s">
        <v>310</v>
      </c>
      <c r="B5" t="s">
        <v>317</v>
      </c>
      <c r="D5" t="str">
        <f t="shared" si="0"/>
        <v>insert into dw_srm.dim_level_cat values ('D','D等级');</v>
      </c>
    </row>
    <row r="6" spans="1:4" x14ac:dyDescent="0.35">
      <c r="A6" t="s">
        <v>311</v>
      </c>
      <c r="B6" t="s">
        <v>318</v>
      </c>
      <c r="D6" t="str">
        <f t="shared" si="0"/>
        <v>insert into dw_srm.dim_level_cat values ('E','E等级');</v>
      </c>
    </row>
    <row r="7" spans="1:4" x14ac:dyDescent="0.35">
      <c r="A7" t="s">
        <v>312</v>
      </c>
      <c r="B7" t="s">
        <v>319</v>
      </c>
      <c r="D7" t="str">
        <f t="shared" si="0"/>
        <v>insert into dw_srm.dim_level_cat values ('F','F等级');</v>
      </c>
    </row>
    <row r="8" spans="1:4" x14ac:dyDescent="0.35">
      <c r="A8" t="s">
        <v>313</v>
      </c>
      <c r="B8" t="s">
        <v>320</v>
      </c>
      <c r="D8" t="str">
        <f t="shared" si="0"/>
        <v>insert into dw_srm.dim_level_cat values ('其他','其他等级');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2"/>
  <sheetViews>
    <sheetView workbookViewId="0">
      <selection activeCell="B7" sqref="B7"/>
    </sheetView>
  </sheetViews>
  <sheetFormatPr defaultRowHeight="16.5" x14ac:dyDescent="0.35"/>
  <cols>
    <col min="1" max="1" width="8.125" customWidth="1"/>
    <col min="2" max="2" width="15.75" customWidth="1"/>
    <col min="4" max="4" width="44" bestFit="1" customWidth="1"/>
  </cols>
  <sheetData>
    <row r="1" spans="1:4" x14ac:dyDescent="0.35">
      <c r="A1" t="s">
        <v>169</v>
      </c>
      <c r="B1" t="s">
        <v>170</v>
      </c>
    </row>
    <row r="2" spans="1:4" x14ac:dyDescent="0.35">
      <c r="A2" s="15">
        <v>0</v>
      </c>
      <c r="B2" t="s">
        <v>291</v>
      </c>
      <c r="D2" t="str">
        <f>"insert into dw_srm.dim_mob values ('"&amp;A2&amp;"','"&amp;B2&amp;"');"</f>
        <v>insert into dw_srm.dim_mob values ('0','mob0');</v>
      </c>
    </row>
    <row r="3" spans="1:4" x14ac:dyDescent="0.35">
      <c r="A3" s="15">
        <v>1</v>
      </c>
      <c r="B3" t="s">
        <v>171</v>
      </c>
      <c r="D3" t="str">
        <f t="shared" ref="D3:D66" si="0">"insert into dw_srm.dim_mob values ('"&amp;A3&amp;"','"&amp;B3&amp;"');"</f>
        <v>insert into dw_srm.dim_mob values ('1','mob1');</v>
      </c>
    </row>
    <row r="4" spans="1:4" x14ac:dyDescent="0.35">
      <c r="A4" s="15">
        <v>2</v>
      </c>
      <c r="B4" t="s">
        <v>172</v>
      </c>
      <c r="D4" t="str">
        <f t="shared" si="0"/>
        <v>insert into dw_srm.dim_mob values ('2','mob2');</v>
      </c>
    </row>
    <row r="5" spans="1:4" x14ac:dyDescent="0.35">
      <c r="A5" s="15">
        <v>3</v>
      </c>
      <c r="B5" t="s">
        <v>173</v>
      </c>
      <c r="D5" t="str">
        <f t="shared" si="0"/>
        <v>insert into dw_srm.dim_mob values ('3','mob3');</v>
      </c>
    </row>
    <row r="6" spans="1:4" x14ac:dyDescent="0.35">
      <c r="A6" s="15">
        <v>4</v>
      </c>
      <c r="B6" t="s">
        <v>174</v>
      </c>
      <c r="D6" t="str">
        <f t="shared" si="0"/>
        <v>insert into dw_srm.dim_mob values ('4','mob4');</v>
      </c>
    </row>
    <row r="7" spans="1:4" x14ac:dyDescent="0.35">
      <c r="A7" s="15">
        <v>5</v>
      </c>
      <c r="B7" t="s">
        <v>175</v>
      </c>
      <c r="D7" t="str">
        <f t="shared" si="0"/>
        <v>insert into dw_srm.dim_mob values ('5','mob5');</v>
      </c>
    </row>
    <row r="8" spans="1:4" x14ac:dyDescent="0.35">
      <c r="A8" s="15">
        <v>6</v>
      </c>
      <c r="B8" t="s">
        <v>176</v>
      </c>
      <c r="D8" t="str">
        <f t="shared" si="0"/>
        <v>insert into dw_srm.dim_mob values ('6','mob6');</v>
      </c>
    </row>
    <row r="9" spans="1:4" x14ac:dyDescent="0.35">
      <c r="A9" s="15">
        <v>7</v>
      </c>
      <c r="B9" t="s">
        <v>177</v>
      </c>
      <c r="D9" t="str">
        <f t="shared" si="0"/>
        <v>insert into dw_srm.dim_mob values ('7','mob7');</v>
      </c>
    </row>
    <row r="10" spans="1:4" x14ac:dyDescent="0.35">
      <c r="A10" s="15">
        <v>8</v>
      </c>
      <c r="B10" t="s">
        <v>178</v>
      </c>
      <c r="D10" t="str">
        <f t="shared" si="0"/>
        <v>insert into dw_srm.dim_mob values ('8','mob8');</v>
      </c>
    </row>
    <row r="11" spans="1:4" x14ac:dyDescent="0.35">
      <c r="A11" s="15">
        <v>9</v>
      </c>
      <c r="B11" t="s">
        <v>179</v>
      </c>
      <c r="D11" t="str">
        <f t="shared" si="0"/>
        <v>insert into dw_srm.dim_mob values ('9','mob9');</v>
      </c>
    </row>
    <row r="12" spans="1:4" x14ac:dyDescent="0.35">
      <c r="A12" s="15">
        <v>10</v>
      </c>
      <c r="B12" t="s">
        <v>180</v>
      </c>
      <c r="D12" t="str">
        <f t="shared" si="0"/>
        <v>insert into dw_srm.dim_mob values ('10','mob10');</v>
      </c>
    </row>
    <row r="13" spans="1:4" x14ac:dyDescent="0.35">
      <c r="A13" s="15">
        <v>11</v>
      </c>
      <c r="B13" t="s">
        <v>181</v>
      </c>
      <c r="D13" t="str">
        <f t="shared" si="0"/>
        <v>insert into dw_srm.dim_mob values ('11','mob11');</v>
      </c>
    </row>
    <row r="14" spans="1:4" x14ac:dyDescent="0.35">
      <c r="A14" s="15">
        <v>12</v>
      </c>
      <c r="B14" t="s">
        <v>182</v>
      </c>
      <c r="D14" t="str">
        <f t="shared" si="0"/>
        <v>insert into dw_srm.dim_mob values ('12','mob12');</v>
      </c>
    </row>
    <row r="15" spans="1:4" x14ac:dyDescent="0.35">
      <c r="A15" s="15">
        <v>13</v>
      </c>
      <c r="B15" t="s">
        <v>183</v>
      </c>
      <c r="D15" t="str">
        <f t="shared" si="0"/>
        <v>insert into dw_srm.dim_mob values ('13','mob13');</v>
      </c>
    </row>
    <row r="16" spans="1:4" x14ac:dyDescent="0.35">
      <c r="A16" s="15">
        <v>14</v>
      </c>
      <c r="B16" t="s">
        <v>184</v>
      </c>
      <c r="D16" t="str">
        <f t="shared" si="0"/>
        <v>insert into dw_srm.dim_mob values ('14','mob14');</v>
      </c>
    </row>
    <row r="17" spans="1:4" x14ac:dyDescent="0.35">
      <c r="A17" s="15">
        <v>15</v>
      </c>
      <c r="B17" t="s">
        <v>185</v>
      </c>
      <c r="D17" t="str">
        <f t="shared" si="0"/>
        <v>insert into dw_srm.dim_mob values ('15','mob15');</v>
      </c>
    </row>
    <row r="18" spans="1:4" x14ac:dyDescent="0.35">
      <c r="A18" s="15">
        <v>16</v>
      </c>
      <c r="B18" t="s">
        <v>186</v>
      </c>
      <c r="D18" t="str">
        <f t="shared" si="0"/>
        <v>insert into dw_srm.dim_mob values ('16','mob16');</v>
      </c>
    </row>
    <row r="19" spans="1:4" x14ac:dyDescent="0.35">
      <c r="A19" s="15">
        <v>17</v>
      </c>
      <c r="B19" t="s">
        <v>187</v>
      </c>
      <c r="D19" t="str">
        <f t="shared" si="0"/>
        <v>insert into dw_srm.dim_mob values ('17','mob17');</v>
      </c>
    </row>
    <row r="20" spans="1:4" x14ac:dyDescent="0.35">
      <c r="A20" s="15">
        <v>18</v>
      </c>
      <c r="B20" t="s">
        <v>188</v>
      </c>
      <c r="D20" t="str">
        <f t="shared" si="0"/>
        <v>insert into dw_srm.dim_mob values ('18','mob18');</v>
      </c>
    </row>
    <row r="21" spans="1:4" x14ac:dyDescent="0.35">
      <c r="A21" s="15">
        <v>19</v>
      </c>
      <c r="B21" t="s">
        <v>189</v>
      </c>
      <c r="D21" t="str">
        <f t="shared" si="0"/>
        <v>insert into dw_srm.dim_mob values ('19','mob19');</v>
      </c>
    </row>
    <row r="22" spans="1:4" x14ac:dyDescent="0.35">
      <c r="A22" s="15">
        <v>20</v>
      </c>
      <c r="B22" t="s">
        <v>190</v>
      </c>
      <c r="D22" t="str">
        <f t="shared" si="0"/>
        <v>insert into dw_srm.dim_mob values ('20','mob20');</v>
      </c>
    </row>
    <row r="23" spans="1:4" x14ac:dyDescent="0.35">
      <c r="A23" s="15">
        <v>21</v>
      </c>
      <c r="B23" t="s">
        <v>191</v>
      </c>
      <c r="D23" t="str">
        <f t="shared" si="0"/>
        <v>insert into dw_srm.dim_mob values ('21','mob21');</v>
      </c>
    </row>
    <row r="24" spans="1:4" x14ac:dyDescent="0.35">
      <c r="A24" s="15">
        <v>22</v>
      </c>
      <c r="B24" t="s">
        <v>192</v>
      </c>
      <c r="D24" t="str">
        <f t="shared" si="0"/>
        <v>insert into dw_srm.dim_mob values ('22','mob22');</v>
      </c>
    </row>
    <row r="25" spans="1:4" x14ac:dyDescent="0.35">
      <c r="A25" s="15">
        <v>23</v>
      </c>
      <c r="B25" t="s">
        <v>193</v>
      </c>
      <c r="D25" t="str">
        <f t="shared" si="0"/>
        <v>insert into dw_srm.dim_mob values ('23','mob23');</v>
      </c>
    </row>
    <row r="26" spans="1:4" x14ac:dyDescent="0.35">
      <c r="A26" s="15">
        <v>24</v>
      </c>
      <c r="B26" t="s">
        <v>194</v>
      </c>
      <c r="D26" t="str">
        <f t="shared" si="0"/>
        <v>insert into dw_srm.dim_mob values ('24','mob24');</v>
      </c>
    </row>
    <row r="27" spans="1:4" x14ac:dyDescent="0.35">
      <c r="A27" s="15">
        <v>25</v>
      </c>
      <c r="B27" t="s">
        <v>195</v>
      </c>
      <c r="D27" t="str">
        <f t="shared" si="0"/>
        <v>insert into dw_srm.dim_mob values ('25','mob25');</v>
      </c>
    </row>
    <row r="28" spans="1:4" x14ac:dyDescent="0.35">
      <c r="A28" s="15">
        <v>26</v>
      </c>
      <c r="B28" t="s">
        <v>196</v>
      </c>
      <c r="D28" t="str">
        <f t="shared" si="0"/>
        <v>insert into dw_srm.dim_mob values ('26','mob26');</v>
      </c>
    </row>
    <row r="29" spans="1:4" x14ac:dyDescent="0.35">
      <c r="A29" s="15">
        <v>27</v>
      </c>
      <c r="B29" t="s">
        <v>197</v>
      </c>
      <c r="D29" t="str">
        <f t="shared" si="0"/>
        <v>insert into dw_srm.dim_mob values ('27','mob27');</v>
      </c>
    </row>
    <row r="30" spans="1:4" x14ac:dyDescent="0.35">
      <c r="A30" s="15">
        <v>28</v>
      </c>
      <c r="B30" t="s">
        <v>198</v>
      </c>
      <c r="D30" t="str">
        <f t="shared" si="0"/>
        <v>insert into dw_srm.dim_mob values ('28','mob28');</v>
      </c>
    </row>
    <row r="31" spans="1:4" x14ac:dyDescent="0.35">
      <c r="A31" s="15">
        <v>29</v>
      </c>
      <c r="B31" t="s">
        <v>199</v>
      </c>
      <c r="D31" t="str">
        <f t="shared" si="0"/>
        <v>insert into dw_srm.dim_mob values ('29','mob29');</v>
      </c>
    </row>
    <row r="32" spans="1:4" x14ac:dyDescent="0.35">
      <c r="A32" s="15">
        <v>30</v>
      </c>
      <c r="B32" t="s">
        <v>200</v>
      </c>
      <c r="D32" t="str">
        <f t="shared" si="0"/>
        <v>insert into dw_srm.dim_mob values ('30','mob30');</v>
      </c>
    </row>
    <row r="33" spans="1:4" x14ac:dyDescent="0.35">
      <c r="A33" s="15">
        <v>31</v>
      </c>
      <c r="B33" t="s">
        <v>201</v>
      </c>
      <c r="D33" t="str">
        <f t="shared" si="0"/>
        <v>insert into dw_srm.dim_mob values ('31','mob31');</v>
      </c>
    </row>
    <row r="34" spans="1:4" x14ac:dyDescent="0.35">
      <c r="A34" s="15">
        <v>32</v>
      </c>
      <c r="B34" t="s">
        <v>202</v>
      </c>
      <c r="D34" t="str">
        <f t="shared" si="0"/>
        <v>insert into dw_srm.dim_mob values ('32','mob32');</v>
      </c>
    </row>
    <row r="35" spans="1:4" x14ac:dyDescent="0.35">
      <c r="A35" s="15">
        <v>33</v>
      </c>
      <c r="B35" t="s">
        <v>203</v>
      </c>
      <c r="D35" t="str">
        <f t="shared" si="0"/>
        <v>insert into dw_srm.dim_mob values ('33','mob33');</v>
      </c>
    </row>
    <row r="36" spans="1:4" x14ac:dyDescent="0.35">
      <c r="A36" s="15">
        <v>34</v>
      </c>
      <c r="B36" t="s">
        <v>204</v>
      </c>
      <c r="D36" t="str">
        <f t="shared" si="0"/>
        <v>insert into dw_srm.dim_mob values ('34','mob34');</v>
      </c>
    </row>
    <row r="37" spans="1:4" x14ac:dyDescent="0.35">
      <c r="A37" s="15">
        <v>35</v>
      </c>
      <c r="B37" t="s">
        <v>205</v>
      </c>
      <c r="D37" t="str">
        <f t="shared" si="0"/>
        <v>insert into dw_srm.dim_mob values ('35','mob35');</v>
      </c>
    </row>
    <row r="38" spans="1:4" x14ac:dyDescent="0.35">
      <c r="A38" s="15">
        <v>36</v>
      </c>
      <c r="B38" t="s">
        <v>206</v>
      </c>
      <c r="D38" t="str">
        <f t="shared" si="0"/>
        <v>insert into dw_srm.dim_mob values ('36','mob36');</v>
      </c>
    </row>
    <row r="39" spans="1:4" x14ac:dyDescent="0.35">
      <c r="A39" s="15">
        <v>37</v>
      </c>
      <c r="B39" t="s">
        <v>207</v>
      </c>
      <c r="D39" t="str">
        <f t="shared" si="0"/>
        <v>insert into dw_srm.dim_mob values ('37','mob37');</v>
      </c>
    </row>
    <row r="40" spans="1:4" x14ac:dyDescent="0.35">
      <c r="A40" s="15">
        <v>38</v>
      </c>
      <c r="B40" t="s">
        <v>208</v>
      </c>
      <c r="D40" t="str">
        <f t="shared" si="0"/>
        <v>insert into dw_srm.dim_mob values ('38','mob38');</v>
      </c>
    </row>
    <row r="41" spans="1:4" x14ac:dyDescent="0.35">
      <c r="A41" s="15">
        <v>39</v>
      </c>
      <c r="B41" t="s">
        <v>209</v>
      </c>
      <c r="D41" t="str">
        <f t="shared" si="0"/>
        <v>insert into dw_srm.dim_mob values ('39','mob39');</v>
      </c>
    </row>
    <row r="42" spans="1:4" x14ac:dyDescent="0.35">
      <c r="A42" s="15">
        <v>40</v>
      </c>
      <c r="B42" t="s">
        <v>210</v>
      </c>
      <c r="D42" t="str">
        <f t="shared" si="0"/>
        <v>insert into dw_srm.dim_mob values ('40','mob40');</v>
      </c>
    </row>
    <row r="43" spans="1:4" x14ac:dyDescent="0.35">
      <c r="A43" s="15">
        <v>41</v>
      </c>
      <c r="B43" t="s">
        <v>211</v>
      </c>
      <c r="D43" t="str">
        <f t="shared" si="0"/>
        <v>insert into dw_srm.dim_mob values ('41','mob41');</v>
      </c>
    </row>
    <row r="44" spans="1:4" x14ac:dyDescent="0.35">
      <c r="A44" s="15">
        <v>42</v>
      </c>
      <c r="B44" t="s">
        <v>212</v>
      </c>
      <c r="D44" t="str">
        <f t="shared" si="0"/>
        <v>insert into dw_srm.dim_mob values ('42','mob42');</v>
      </c>
    </row>
    <row r="45" spans="1:4" x14ac:dyDescent="0.35">
      <c r="A45" s="15">
        <v>43</v>
      </c>
      <c r="B45" t="s">
        <v>213</v>
      </c>
      <c r="D45" t="str">
        <f t="shared" si="0"/>
        <v>insert into dw_srm.dim_mob values ('43','mob43');</v>
      </c>
    </row>
    <row r="46" spans="1:4" x14ac:dyDescent="0.35">
      <c r="A46" s="15">
        <v>44</v>
      </c>
      <c r="B46" t="s">
        <v>214</v>
      </c>
      <c r="D46" t="str">
        <f t="shared" si="0"/>
        <v>insert into dw_srm.dim_mob values ('44','mob44');</v>
      </c>
    </row>
    <row r="47" spans="1:4" x14ac:dyDescent="0.35">
      <c r="A47" s="15">
        <v>45</v>
      </c>
      <c r="B47" t="s">
        <v>215</v>
      </c>
      <c r="D47" t="str">
        <f t="shared" si="0"/>
        <v>insert into dw_srm.dim_mob values ('45','mob45');</v>
      </c>
    </row>
    <row r="48" spans="1:4" x14ac:dyDescent="0.35">
      <c r="A48" s="15">
        <v>46</v>
      </c>
      <c r="B48" t="s">
        <v>216</v>
      </c>
      <c r="D48" t="str">
        <f t="shared" si="0"/>
        <v>insert into dw_srm.dim_mob values ('46','mob46');</v>
      </c>
    </row>
    <row r="49" spans="1:4" x14ac:dyDescent="0.35">
      <c r="A49" s="15">
        <v>47</v>
      </c>
      <c r="B49" t="s">
        <v>217</v>
      </c>
      <c r="D49" t="str">
        <f t="shared" si="0"/>
        <v>insert into dw_srm.dim_mob values ('47','mob47');</v>
      </c>
    </row>
    <row r="50" spans="1:4" x14ac:dyDescent="0.35">
      <c r="A50" s="15">
        <v>48</v>
      </c>
      <c r="B50" t="s">
        <v>218</v>
      </c>
      <c r="D50" t="str">
        <f t="shared" si="0"/>
        <v>insert into dw_srm.dim_mob values ('48','mob48');</v>
      </c>
    </row>
    <row r="51" spans="1:4" x14ac:dyDescent="0.35">
      <c r="A51" s="15">
        <v>49</v>
      </c>
      <c r="B51" t="s">
        <v>219</v>
      </c>
      <c r="D51" t="str">
        <f t="shared" si="0"/>
        <v>insert into dw_srm.dim_mob values ('49','mob49');</v>
      </c>
    </row>
    <row r="52" spans="1:4" x14ac:dyDescent="0.35">
      <c r="A52" s="15">
        <v>50</v>
      </c>
      <c r="B52" t="s">
        <v>220</v>
      </c>
      <c r="D52" t="str">
        <f t="shared" si="0"/>
        <v>insert into dw_srm.dim_mob values ('50','mob50');</v>
      </c>
    </row>
    <row r="53" spans="1:4" x14ac:dyDescent="0.35">
      <c r="A53" s="15">
        <v>51</v>
      </c>
      <c r="B53" t="s">
        <v>221</v>
      </c>
      <c r="D53" t="str">
        <f t="shared" si="0"/>
        <v>insert into dw_srm.dim_mob values ('51','mob51');</v>
      </c>
    </row>
    <row r="54" spans="1:4" x14ac:dyDescent="0.35">
      <c r="A54" s="15">
        <v>52</v>
      </c>
      <c r="B54" t="s">
        <v>222</v>
      </c>
      <c r="D54" t="str">
        <f t="shared" si="0"/>
        <v>insert into dw_srm.dim_mob values ('52','mob52');</v>
      </c>
    </row>
    <row r="55" spans="1:4" x14ac:dyDescent="0.35">
      <c r="A55" s="15">
        <v>53</v>
      </c>
      <c r="B55" t="s">
        <v>223</v>
      </c>
      <c r="D55" t="str">
        <f t="shared" si="0"/>
        <v>insert into dw_srm.dim_mob values ('53','mob53');</v>
      </c>
    </row>
    <row r="56" spans="1:4" x14ac:dyDescent="0.35">
      <c r="A56" s="15">
        <v>54</v>
      </c>
      <c r="B56" t="s">
        <v>224</v>
      </c>
      <c r="D56" t="str">
        <f t="shared" si="0"/>
        <v>insert into dw_srm.dim_mob values ('54','mob54');</v>
      </c>
    </row>
    <row r="57" spans="1:4" x14ac:dyDescent="0.35">
      <c r="A57" s="15">
        <v>55</v>
      </c>
      <c r="B57" t="s">
        <v>225</v>
      </c>
      <c r="D57" t="str">
        <f t="shared" si="0"/>
        <v>insert into dw_srm.dim_mob values ('55','mob55');</v>
      </c>
    </row>
    <row r="58" spans="1:4" x14ac:dyDescent="0.35">
      <c r="A58" s="15">
        <v>56</v>
      </c>
      <c r="B58" t="s">
        <v>226</v>
      </c>
      <c r="D58" t="str">
        <f t="shared" si="0"/>
        <v>insert into dw_srm.dim_mob values ('56','mob56');</v>
      </c>
    </row>
    <row r="59" spans="1:4" x14ac:dyDescent="0.35">
      <c r="A59" s="15">
        <v>57</v>
      </c>
      <c r="B59" t="s">
        <v>227</v>
      </c>
      <c r="D59" t="str">
        <f t="shared" si="0"/>
        <v>insert into dw_srm.dim_mob values ('57','mob57');</v>
      </c>
    </row>
    <row r="60" spans="1:4" x14ac:dyDescent="0.35">
      <c r="A60" s="15">
        <v>58</v>
      </c>
      <c r="B60" t="s">
        <v>228</v>
      </c>
      <c r="D60" t="str">
        <f t="shared" si="0"/>
        <v>insert into dw_srm.dim_mob values ('58','mob58');</v>
      </c>
    </row>
    <row r="61" spans="1:4" x14ac:dyDescent="0.35">
      <c r="A61" s="15">
        <v>59</v>
      </c>
      <c r="B61" t="s">
        <v>229</v>
      </c>
      <c r="D61" t="str">
        <f t="shared" si="0"/>
        <v>insert into dw_srm.dim_mob values ('59','mob59');</v>
      </c>
    </row>
    <row r="62" spans="1:4" x14ac:dyDescent="0.35">
      <c r="A62" s="15">
        <v>60</v>
      </c>
      <c r="B62" t="s">
        <v>230</v>
      </c>
      <c r="D62" t="str">
        <f t="shared" si="0"/>
        <v>insert into dw_srm.dim_mob values ('60','mob60');</v>
      </c>
    </row>
    <row r="63" spans="1:4" x14ac:dyDescent="0.35">
      <c r="A63" s="15">
        <v>61</v>
      </c>
      <c r="B63" t="s">
        <v>231</v>
      </c>
      <c r="D63" t="str">
        <f t="shared" si="0"/>
        <v>insert into dw_srm.dim_mob values ('61','mob61');</v>
      </c>
    </row>
    <row r="64" spans="1:4" x14ac:dyDescent="0.35">
      <c r="A64" s="15">
        <v>62</v>
      </c>
      <c r="B64" t="s">
        <v>232</v>
      </c>
      <c r="D64" t="str">
        <f t="shared" si="0"/>
        <v>insert into dw_srm.dim_mob values ('62','mob62');</v>
      </c>
    </row>
    <row r="65" spans="1:4" x14ac:dyDescent="0.35">
      <c r="A65" s="15">
        <v>63</v>
      </c>
      <c r="B65" t="s">
        <v>233</v>
      </c>
      <c r="D65" t="str">
        <f t="shared" si="0"/>
        <v>insert into dw_srm.dim_mob values ('63','mob63');</v>
      </c>
    </row>
    <row r="66" spans="1:4" x14ac:dyDescent="0.35">
      <c r="A66" s="15">
        <v>64</v>
      </c>
      <c r="B66" t="s">
        <v>234</v>
      </c>
      <c r="D66" t="str">
        <f t="shared" si="0"/>
        <v>insert into dw_srm.dim_mob values ('64','mob64');</v>
      </c>
    </row>
    <row r="67" spans="1:4" x14ac:dyDescent="0.35">
      <c r="A67" s="15">
        <v>65</v>
      </c>
      <c r="B67" t="s">
        <v>235</v>
      </c>
      <c r="D67" t="str">
        <f t="shared" ref="D67:D121" si="1">"insert into dw_srm.dim_mob values ('"&amp;A67&amp;"','"&amp;B67&amp;"');"</f>
        <v>insert into dw_srm.dim_mob values ('65','mob65');</v>
      </c>
    </row>
    <row r="68" spans="1:4" x14ac:dyDescent="0.35">
      <c r="A68" s="15">
        <v>66</v>
      </c>
      <c r="B68" t="s">
        <v>236</v>
      </c>
      <c r="D68" t="str">
        <f t="shared" si="1"/>
        <v>insert into dw_srm.dim_mob values ('66','mob66');</v>
      </c>
    </row>
    <row r="69" spans="1:4" x14ac:dyDescent="0.35">
      <c r="A69" s="15">
        <v>67</v>
      </c>
      <c r="B69" t="s">
        <v>237</v>
      </c>
      <c r="D69" t="str">
        <f t="shared" si="1"/>
        <v>insert into dw_srm.dim_mob values ('67','mob67');</v>
      </c>
    </row>
    <row r="70" spans="1:4" x14ac:dyDescent="0.35">
      <c r="A70" s="15">
        <v>68</v>
      </c>
      <c r="B70" t="s">
        <v>238</v>
      </c>
      <c r="D70" t="str">
        <f t="shared" si="1"/>
        <v>insert into dw_srm.dim_mob values ('68','mob68');</v>
      </c>
    </row>
    <row r="71" spans="1:4" x14ac:dyDescent="0.35">
      <c r="A71" s="15">
        <v>69</v>
      </c>
      <c r="B71" t="s">
        <v>239</v>
      </c>
      <c r="D71" t="str">
        <f t="shared" si="1"/>
        <v>insert into dw_srm.dim_mob values ('69','mob69');</v>
      </c>
    </row>
    <row r="72" spans="1:4" x14ac:dyDescent="0.35">
      <c r="A72" s="15">
        <v>70</v>
      </c>
      <c r="B72" t="s">
        <v>240</v>
      </c>
      <c r="D72" t="str">
        <f t="shared" si="1"/>
        <v>insert into dw_srm.dim_mob values ('70','mob70');</v>
      </c>
    </row>
    <row r="73" spans="1:4" x14ac:dyDescent="0.35">
      <c r="A73" s="15">
        <v>71</v>
      </c>
      <c r="B73" t="s">
        <v>241</v>
      </c>
      <c r="D73" t="str">
        <f t="shared" si="1"/>
        <v>insert into dw_srm.dim_mob values ('71','mob71');</v>
      </c>
    </row>
    <row r="74" spans="1:4" x14ac:dyDescent="0.35">
      <c r="A74" s="15">
        <v>72</v>
      </c>
      <c r="B74" t="s">
        <v>242</v>
      </c>
      <c r="D74" t="str">
        <f t="shared" si="1"/>
        <v>insert into dw_srm.dim_mob values ('72','mob72');</v>
      </c>
    </row>
    <row r="75" spans="1:4" x14ac:dyDescent="0.35">
      <c r="A75" s="15">
        <v>73</v>
      </c>
      <c r="B75" t="s">
        <v>243</v>
      </c>
      <c r="D75" t="str">
        <f t="shared" si="1"/>
        <v>insert into dw_srm.dim_mob values ('73','mob73');</v>
      </c>
    </row>
    <row r="76" spans="1:4" x14ac:dyDescent="0.35">
      <c r="A76" s="15">
        <v>74</v>
      </c>
      <c r="B76" t="s">
        <v>244</v>
      </c>
      <c r="D76" t="str">
        <f t="shared" si="1"/>
        <v>insert into dw_srm.dim_mob values ('74','mob74');</v>
      </c>
    </row>
    <row r="77" spans="1:4" x14ac:dyDescent="0.35">
      <c r="A77" s="15">
        <v>75</v>
      </c>
      <c r="B77" t="s">
        <v>245</v>
      </c>
      <c r="D77" t="str">
        <f t="shared" si="1"/>
        <v>insert into dw_srm.dim_mob values ('75','mob75');</v>
      </c>
    </row>
    <row r="78" spans="1:4" x14ac:dyDescent="0.35">
      <c r="A78" s="15">
        <v>76</v>
      </c>
      <c r="B78" t="s">
        <v>246</v>
      </c>
      <c r="D78" t="str">
        <f t="shared" si="1"/>
        <v>insert into dw_srm.dim_mob values ('76','mob76');</v>
      </c>
    </row>
    <row r="79" spans="1:4" x14ac:dyDescent="0.35">
      <c r="A79" s="15">
        <v>77</v>
      </c>
      <c r="B79" t="s">
        <v>247</v>
      </c>
      <c r="D79" t="str">
        <f t="shared" si="1"/>
        <v>insert into dw_srm.dim_mob values ('77','mob77');</v>
      </c>
    </row>
    <row r="80" spans="1:4" x14ac:dyDescent="0.35">
      <c r="A80" s="15">
        <v>78</v>
      </c>
      <c r="B80" t="s">
        <v>248</v>
      </c>
      <c r="D80" t="str">
        <f t="shared" si="1"/>
        <v>insert into dw_srm.dim_mob values ('78','mob78');</v>
      </c>
    </row>
    <row r="81" spans="1:4" x14ac:dyDescent="0.35">
      <c r="A81" s="15">
        <v>79</v>
      </c>
      <c r="B81" t="s">
        <v>249</v>
      </c>
      <c r="D81" t="str">
        <f t="shared" si="1"/>
        <v>insert into dw_srm.dim_mob values ('79','mob79');</v>
      </c>
    </row>
    <row r="82" spans="1:4" x14ac:dyDescent="0.35">
      <c r="A82" s="15">
        <v>80</v>
      </c>
      <c r="B82" t="s">
        <v>250</v>
      </c>
      <c r="D82" t="str">
        <f t="shared" si="1"/>
        <v>insert into dw_srm.dim_mob values ('80','mob80');</v>
      </c>
    </row>
    <row r="83" spans="1:4" x14ac:dyDescent="0.35">
      <c r="A83" s="15">
        <v>81</v>
      </c>
      <c r="B83" t="s">
        <v>251</v>
      </c>
      <c r="D83" t="str">
        <f t="shared" si="1"/>
        <v>insert into dw_srm.dim_mob values ('81','mob81');</v>
      </c>
    </row>
    <row r="84" spans="1:4" x14ac:dyDescent="0.35">
      <c r="A84" s="15">
        <v>82</v>
      </c>
      <c r="B84" t="s">
        <v>252</v>
      </c>
      <c r="D84" t="str">
        <f t="shared" si="1"/>
        <v>insert into dw_srm.dim_mob values ('82','mob82');</v>
      </c>
    </row>
    <row r="85" spans="1:4" x14ac:dyDescent="0.35">
      <c r="A85" s="15">
        <v>83</v>
      </c>
      <c r="B85" t="s">
        <v>253</v>
      </c>
      <c r="D85" t="str">
        <f t="shared" si="1"/>
        <v>insert into dw_srm.dim_mob values ('83','mob83');</v>
      </c>
    </row>
    <row r="86" spans="1:4" x14ac:dyDescent="0.35">
      <c r="A86" s="15">
        <v>84</v>
      </c>
      <c r="B86" t="s">
        <v>254</v>
      </c>
      <c r="D86" t="str">
        <f t="shared" si="1"/>
        <v>insert into dw_srm.dim_mob values ('84','mob84');</v>
      </c>
    </row>
    <row r="87" spans="1:4" x14ac:dyDescent="0.35">
      <c r="A87" s="15">
        <v>85</v>
      </c>
      <c r="B87" t="s">
        <v>255</v>
      </c>
      <c r="D87" t="str">
        <f t="shared" si="1"/>
        <v>insert into dw_srm.dim_mob values ('85','mob85');</v>
      </c>
    </row>
    <row r="88" spans="1:4" x14ac:dyDescent="0.35">
      <c r="A88" s="15">
        <v>86</v>
      </c>
      <c r="B88" t="s">
        <v>256</v>
      </c>
      <c r="D88" t="str">
        <f t="shared" si="1"/>
        <v>insert into dw_srm.dim_mob values ('86','mob86');</v>
      </c>
    </row>
    <row r="89" spans="1:4" x14ac:dyDescent="0.35">
      <c r="A89" s="15">
        <v>87</v>
      </c>
      <c r="B89" t="s">
        <v>257</v>
      </c>
      <c r="D89" t="str">
        <f t="shared" si="1"/>
        <v>insert into dw_srm.dim_mob values ('87','mob87');</v>
      </c>
    </row>
    <row r="90" spans="1:4" x14ac:dyDescent="0.35">
      <c r="A90" s="15">
        <v>88</v>
      </c>
      <c r="B90" t="s">
        <v>258</v>
      </c>
      <c r="D90" t="str">
        <f t="shared" si="1"/>
        <v>insert into dw_srm.dim_mob values ('88','mob88');</v>
      </c>
    </row>
    <row r="91" spans="1:4" x14ac:dyDescent="0.35">
      <c r="A91" s="15">
        <v>89</v>
      </c>
      <c r="B91" t="s">
        <v>259</v>
      </c>
      <c r="D91" t="str">
        <f t="shared" si="1"/>
        <v>insert into dw_srm.dim_mob values ('89','mob89');</v>
      </c>
    </row>
    <row r="92" spans="1:4" x14ac:dyDescent="0.35">
      <c r="A92" s="15">
        <v>90</v>
      </c>
      <c r="B92" t="s">
        <v>260</v>
      </c>
      <c r="D92" t="str">
        <f t="shared" si="1"/>
        <v>insert into dw_srm.dim_mob values ('90','mob90');</v>
      </c>
    </row>
    <row r="93" spans="1:4" x14ac:dyDescent="0.35">
      <c r="A93" s="15">
        <v>91</v>
      </c>
      <c r="B93" t="s">
        <v>261</v>
      </c>
      <c r="D93" t="str">
        <f t="shared" si="1"/>
        <v>insert into dw_srm.dim_mob values ('91','mob91');</v>
      </c>
    </row>
    <row r="94" spans="1:4" x14ac:dyDescent="0.35">
      <c r="A94" s="15">
        <v>92</v>
      </c>
      <c r="B94" t="s">
        <v>262</v>
      </c>
      <c r="D94" t="str">
        <f t="shared" si="1"/>
        <v>insert into dw_srm.dim_mob values ('92','mob92');</v>
      </c>
    </row>
    <row r="95" spans="1:4" x14ac:dyDescent="0.35">
      <c r="A95" s="15">
        <v>93</v>
      </c>
      <c r="B95" t="s">
        <v>263</v>
      </c>
      <c r="D95" t="str">
        <f t="shared" si="1"/>
        <v>insert into dw_srm.dim_mob values ('93','mob93');</v>
      </c>
    </row>
    <row r="96" spans="1:4" x14ac:dyDescent="0.35">
      <c r="A96" s="15">
        <v>94</v>
      </c>
      <c r="B96" t="s">
        <v>264</v>
      </c>
      <c r="D96" t="str">
        <f t="shared" si="1"/>
        <v>insert into dw_srm.dim_mob values ('94','mob94');</v>
      </c>
    </row>
    <row r="97" spans="1:4" x14ac:dyDescent="0.35">
      <c r="A97" s="15">
        <v>95</v>
      </c>
      <c r="B97" t="s">
        <v>265</v>
      </c>
      <c r="D97" t="str">
        <f t="shared" si="1"/>
        <v>insert into dw_srm.dim_mob values ('95','mob95');</v>
      </c>
    </row>
    <row r="98" spans="1:4" x14ac:dyDescent="0.35">
      <c r="A98" s="15">
        <v>96</v>
      </c>
      <c r="B98" t="s">
        <v>266</v>
      </c>
      <c r="D98" t="str">
        <f t="shared" si="1"/>
        <v>insert into dw_srm.dim_mob values ('96','mob96');</v>
      </c>
    </row>
    <row r="99" spans="1:4" x14ac:dyDescent="0.35">
      <c r="A99" s="15">
        <v>97</v>
      </c>
      <c r="B99" t="s">
        <v>267</v>
      </c>
      <c r="D99" t="str">
        <f t="shared" si="1"/>
        <v>insert into dw_srm.dim_mob values ('97','mob97');</v>
      </c>
    </row>
    <row r="100" spans="1:4" x14ac:dyDescent="0.35">
      <c r="A100" s="15">
        <v>98</v>
      </c>
      <c r="B100" t="s">
        <v>268</v>
      </c>
      <c r="D100" t="str">
        <f t="shared" si="1"/>
        <v>insert into dw_srm.dim_mob values ('98','mob98');</v>
      </c>
    </row>
    <row r="101" spans="1:4" x14ac:dyDescent="0.35">
      <c r="A101" s="15">
        <v>99</v>
      </c>
      <c r="B101" t="s">
        <v>269</v>
      </c>
      <c r="D101" t="str">
        <f t="shared" si="1"/>
        <v>insert into dw_srm.dim_mob values ('99','mob99');</v>
      </c>
    </row>
    <row r="102" spans="1:4" x14ac:dyDescent="0.35">
      <c r="A102" s="15">
        <v>100</v>
      </c>
      <c r="B102" t="s">
        <v>270</v>
      </c>
      <c r="D102" t="str">
        <f t="shared" si="1"/>
        <v>insert into dw_srm.dim_mob values ('100','mob100');</v>
      </c>
    </row>
    <row r="103" spans="1:4" x14ac:dyDescent="0.35">
      <c r="A103" s="15">
        <v>101</v>
      </c>
      <c r="B103" t="s">
        <v>271</v>
      </c>
      <c r="D103" t="str">
        <f t="shared" si="1"/>
        <v>insert into dw_srm.dim_mob values ('101','mob101');</v>
      </c>
    </row>
    <row r="104" spans="1:4" x14ac:dyDescent="0.35">
      <c r="A104" s="15">
        <v>102</v>
      </c>
      <c r="B104" t="s">
        <v>272</v>
      </c>
      <c r="D104" t="str">
        <f t="shared" si="1"/>
        <v>insert into dw_srm.dim_mob values ('102','mob102');</v>
      </c>
    </row>
    <row r="105" spans="1:4" x14ac:dyDescent="0.35">
      <c r="A105" s="15">
        <v>103</v>
      </c>
      <c r="B105" t="s">
        <v>273</v>
      </c>
      <c r="D105" t="str">
        <f t="shared" si="1"/>
        <v>insert into dw_srm.dim_mob values ('103','mob103');</v>
      </c>
    </row>
    <row r="106" spans="1:4" x14ac:dyDescent="0.35">
      <c r="A106" s="15">
        <v>104</v>
      </c>
      <c r="B106" t="s">
        <v>274</v>
      </c>
      <c r="D106" t="str">
        <f t="shared" si="1"/>
        <v>insert into dw_srm.dim_mob values ('104','mob104');</v>
      </c>
    </row>
    <row r="107" spans="1:4" x14ac:dyDescent="0.35">
      <c r="A107" s="15">
        <v>105</v>
      </c>
      <c r="B107" t="s">
        <v>275</v>
      </c>
      <c r="D107" t="str">
        <f t="shared" si="1"/>
        <v>insert into dw_srm.dim_mob values ('105','mob105');</v>
      </c>
    </row>
    <row r="108" spans="1:4" x14ac:dyDescent="0.35">
      <c r="A108" s="15">
        <v>106</v>
      </c>
      <c r="B108" t="s">
        <v>276</v>
      </c>
      <c r="D108" t="str">
        <f t="shared" si="1"/>
        <v>insert into dw_srm.dim_mob values ('106','mob106');</v>
      </c>
    </row>
    <row r="109" spans="1:4" x14ac:dyDescent="0.35">
      <c r="A109" s="15">
        <v>107</v>
      </c>
      <c r="B109" t="s">
        <v>277</v>
      </c>
      <c r="D109" t="str">
        <f t="shared" si="1"/>
        <v>insert into dw_srm.dim_mob values ('107','mob107');</v>
      </c>
    </row>
    <row r="110" spans="1:4" x14ac:dyDescent="0.35">
      <c r="A110" s="15">
        <v>108</v>
      </c>
      <c r="B110" t="s">
        <v>278</v>
      </c>
      <c r="D110" t="str">
        <f t="shared" si="1"/>
        <v>insert into dw_srm.dim_mob values ('108','mob108');</v>
      </c>
    </row>
    <row r="111" spans="1:4" x14ac:dyDescent="0.35">
      <c r="A111" s="15">
        <v>109</v>
      </c>
      <c r="B111" t="s">
        <v>279</v>
      </c>
      <c r="D111" t="str">
        <f t="shared" si="1"/>
        <v>insert into dw_srm.dim_mob values ('109','mob109');</v>
      </c>
    </row>
    <row r="112" spans="1:4" x14ac:dyDescent="0.35">
      <c r="A112" s="15">
        <v>110</v>
      </c>
      <c r="B112" t="s">
        <v>280</v>
      </c>
      <c r="D112" t="str">
        <f t="shared" si="1"/>
        <v>insert into dw_srm.dim_mob values ('110','mob110');</v>
      </c>
    </row>
    <row r="113" spans="1:4" x14ac:dyDescent="0.35">
      <c r="A113" s="15">
        <v>111</v>
      </c>
      <c r="B113" t="s">
        <v>281</v>
      </c>
      <c r="D113" t="str">
        <f t="shared" si="1"/>
        <v>insert into dw_srm.dim_mob values ('111','mob111');</v>
      </c>
    </row>
    <row r="114" spans="1:4" x14ac:dyDescent="0.35">
      <c r="A114" s="15">
        <v>112</v>
      </c>
      <c r="B114" t="s">
        <v>282</v>
      </c>
      <c r="D114" t="str">
        <f t="shared" si="1"/>
        <v>insert into dw_srm.dim_mob values ('112','mob112');</v>
      </c>
    </row>
    <row r="115" spans="1:4" x14ac:dyDescent="0.35">
      <c r="A115" s="15">
        <v>113</v>
      </c>
      <c r="B115" t="s">
        <v>283</v>
      </c>
      <c r="D115" t="str">
        <f t="shared" si="1"/>
        <v>insert into dw_srm.dim_mob values ('113','mob113');</v>
      </c>
    </row>
    <row r="116" spans="1:4" x14ac:dyDescent="0.35">
      <c r="A116" s="15">
        <v>114</v>
      </c>
      <c r="B116" t="s">
        <v>284</v>
      </c>
      <c r="D116" t="str">
        <f t="shared" si="1"/>
        <v>insert into dw_srm.dim_mob values ('114','mob114');</v>
      </c>
    </row>
    <row r="117" spans="1:4" x14ac:dyDescent="0.35">
      <c r="A117" s="15">
        <v>115</v>
      </c>
      <c r="B117" t="s">
        <v>285</v>
      </c>
      <c r="D117" t="str">
        <f t="shared" si="1"/>
        <v>insert into dw_srm.dim_mob values ('115','mob115');</v>
      </c>
    </row>
    <row r="118" spans="1:4" x14ac:dyDescent="0.35">
      <c r="A118" s="15">
        <v>116</v>
      </c>
      <c r="B118" t="s">
        <v>286</v>
      </c>
      <c r="D118" t="str">
        <f t="shared" si="1"/>
        <v>insert into dw_srm.dim_mob values ('116','mob116');</v>
      </c>
    </row>
    <row r="119" spans="1:4" x14ac:dyDescent="0.35">
      <c r="A119" s="15">
        <v>117</v>
      </c>
      <c r="B119" t="s">
        <v>287</v>
      </c>
      <c r="D119" t="str">
        <f t="shared" si="1"/>
        <v>insert into dw_srm.dim_mob values ('117','mob117');</v>
      </c>
    </row>
    <row r="120" spans="1:4" x14ac:dyDescent="0.35">
      <c r="A120" s="15">
        <v>118</v>
      </c>
      <c r="B120" t="s">
        <v>288</v>
      </c>
      <c r="D120" t="str">
        <f t="shared" si="1"/>
        <v>insert into dw_srm.dim_mob values ('118','mob118');</v>
      </c>
    </row>
    <row r="121" spans="1:4" x14ac:dyDescent="0.35">
      <c r="A121" s="15">
        <v>119</v>
      </c>
      <c r="B121" t="s">
        <v>289</v>
      </c>
      <c r="D121" t="str">
        <f t="shared" si="1"/>
        <v>insert into dw_srm.dim_mob values ('119','mob119');</v>
      </c>
    </row>
    <row r="122" spans="1:4" x14ac:dyDescent="0.35">
      <c r="A122" s="15">
        <v>120</v>
      </c>
      <c r="B122" t="s">
        <v>290</v>
      </c>
      <c r="D122" t="str">
        <f>"insert into dw_srm.dim_mob values ('"&amp;A122&amp;"','"&amp;B122&amp;"');"</f>
        <v>insert into dw_srm.dim_mob values ('120','mob120');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workbookViewId="0">
      <selection activeCell="B2" sqref="B2"/>
    </sheetView>
  </sheetViews>
  <sheetFormatPr defaultRowHeight="16.5" x14ac:dyDescent="0.35"/>
  <cols>
    <col min="1" max="1" width="11" style="6" customWidth="1"/>
    <col min="2" max="2" width="15.5" style="6" bestFit="1" customWidth="1"/>
    <col min="4" max="4" width="50.625" bestFit="1" customWidth="1"/>
  </cols>
  <sheetData>
    <row r="1" spans="1:4" x14ac:dyDescent="0.35">
      <c r="A1" s="6" t="s">
        <v>151</v>
      </c>
      <c r="B1" s="6" t="s">
        <v>300</v>
      </c>
    </row>
    <row r="2" spans="1:4" x14ac:dyDescent="0.35">
      <c r="A2" s="30" t="s">
        <v>321</v>
      </c>
      <c r="B2" s="6" t="s">
        <v>354</v>
      </c>
      <c r="D2" t="str">
        <f>"insert into dw_srm.dim_expect_cat values ('"&amp;A2&amp;"','"&amp;B2&amp;"');"</f>
        <v>insert into dw_srm.dim_expect_cat values ('1','1期');</v>
      </c>
    </row>
    <row r="3" spans="1:4" x14ac:dyDescent="0.35">
      <c r="A3" s="30" t="s">
        <v>322</v>
      </c>
      <c r="B3" s="6" t="s">
        <v>367</v>
      </c>
      <c r="D3" t="str">
        <f t="shared" ref="D3:D38" si="0">"insert into dw_srm.dim_expect_cat values ('"&amp;A3&amp;"','"&amp;B3&amp;"');"</f>
        <v>insert into dw_srm.dim_expect_cat values ('2','2期');</v>
      </c>
    </row>
    <row r="4" spans="1:4" x14ac:dyDescent="0.35">
      <c r="A4" s="31">
        <v>3</v>
      </c>
      <c r="B4" s="6" t="s">
        <v>368</v>
      </c>
      <c r="D4" t="str">
        <f t="shared" si="0"/>
        <v>insert into dw_srm.dim_expect_cat values ('3','3期');</v>
      </c>
    </row>
    <row r="5" spans="1:4" x14ac:dyDescent="0.35">
      <c r="A5" s="30" t="s">
        <v>323</v>
      </c>
      <c r="B5" s="6" t="s">
        <v>369</v>
      </c>
      <c r="D5" t="str">
        <f t="shared" si="0"/>
        <v>insert into dw_srm.dim_expect_cat values ('4','4期');</v>
      </c>
    </row>
    <row r="6" spans="1:4" x14ac:dyDescent="0.35">
      <c r="A6" s="30" t="s">
        <v>324</v>
      </c>
      <c r="B6" s="6" t="s">
        <v>370</v>
      </c>
      <c r="D6" t="str">
        <f t="shared" si="0"/>
        <v>insert into dw_srm.dim_expect_cat values ('5','5期');</v>
      </c>
    </row>
    <row r="7" spans="1:4" x14ac:dyDescent="0.35">
      <c r="A7" s="30" t="s">
        <v>325</v>
      </c>
      <c r="B7" s="6" t="s">
        <v>303</v>
      </c>
      <c r="D7" t="str">
        <f t="shared" si="0"/>
        <v>insert into dw_srm.dim_expect_cat values ('6','6期');</v>
      </c>
    </row>
    <row r="8" spans="1:4" x14ac:dyDescent="0.35">
      <c r="A8" s="30" t="s">
        <v>326</v>
      </c>
      <c r="B8" s="6" t="s">
        <v>371</v>
      </c>
      <c r="D8" t="str">
        <f t="shared" si="0"/>
        <v>insert into dw_srm.dim_expect_cat values ('7','7期');</v>
      </c>
    </row>
    <row r="9" spans="1:4" x14ac:dyDescent="0.35">
      <c r="A9" s="30" t="s">
        <v>327</v>
      </c>
      <c r="B9" s="6" t="s">
        <v>355</v>
      </c>
      <c r="D9" t="str">
        <f t="shared" si="0"/>
        <v>insert into dw_srm.dim_expect_cat values ('8','8期');</v>
      </c>
    </row>
    <row r="10" spans="1:4" x14ac:dyDescent="0.35">
      <c r="A10" s="30" t="s">
        <v>328</v>
      </c>
      <c r="B10" s="6" t="s">
        <v>356</v>
      </c>
      <c r="D10" t="str">
        <f t="shared" si="0"/>
        <v>insert into dw_srm.dim_expect_cat values ('9','9期');</v>
      </c>
    </row>
    <row r="11" spans="1:4" x14ac:dyDescent="0.35">
      <c r="A11" s="30" t="s">
        <v>329</v>
      </c>
      <c r="B11" s="6" t="s">
        <v>357</v>
      </c>
      <c r="D11" t="str">
        <f t="shared" si="0"/>
        <v>insert into dw_srm.dim_expect_cat values ('10','10期');</v>
      </c>
    </row>
    <row r="12" spans="1:4" x14ac:dyDescent="0.35">
      <c r="A12" s="30" t="s">
        <v>330</v>
      </c>
      <c r="B12" s="6" t="s">
        <v>358</v>
      </c>
      <c r="D12" t="str">
        <f t="shared" si="0"/>
        <v>insert into dw_srm.dim_expect_cat values ('11','11期');</v>
      </c>
    </row>
    <row r="13" spans="1:4" x14ac:dyDescent="0.35">
      <c r="A13" s="30" t="s">
        <v>331</v>
      </c>
      <c r="B13" s="6" t="s">
        <v>304</v>
      </c>
      <c r="D13" t="str">
        <f t="shared" si="0"/>
        <v>insert into dw_srm.dim_expect_cat values ('12','12期');</v>
      </c>
    </row>
    <row r="14" spans="1:4" x14ac:dyDescent="0.35">
      <c r="A14" s="30" t="s">
        <v>332</v>
      </c>
      <c r="B14" s="6" t="s">
        <v>359</v>
      </c>
      <c r="D14" t="str">
        <f t="shared" si="0"/>
        <v>insert into dw_srm.dim_expect_cat values ('13','13期');</v>
      </c>
    </row>
    <row r="15" spans="1:4" x14ac:dyDescent="0.35">
      <c r="A15" s="30" t="s">
        <v>333</v>
      </c>
      <c r="B15" s="6" t="s">
        <v>360</v>
      </c>
      <c r="D15" t="str">
        <f t="shared" si="0"/>
        <v>insert into dw_srm.dim_expect_cat values ('14','14期');</v>
      </c>
    </row>
    <row r="16" spans="1:4" x14ac:dyDescent="0.35">
      <c r="A16" s="30" t="s">
        <v>334</v>
      </c>
      <c r="B16" s="6" t="s">
        <v>361</v>
      </c>
      <c r="D16" t="str">
        <f t="shared" si="0"/>
        <v>insert into dw_srm.dim_expect_cat values ('15','15期');</v>
      </c>
    </row>
    <row r="17" spans="1:4" x14ac:dyDescent="0.35">
      <c r="A17" s="30" t="s">
        <v>335</v>
      </c>
      <c r="B17" s="6" t="s">
        <v>362</v>
      </c>
      <c r="D17" t="str">
        <f t="shared" si="0"/>
        <v>insert into dw_srm.dim_expect_cat values ('16','16期');</v>
      </c>
    </row>
    <row r="18" spans="1:4" x14ac:dyDescent="0.35">
      <c r="A18" s="30" t="s">
        <v>336</v>
      </c>
      <c r="B18" s="6" t="s">
        <v>363</v>
      </c>
      <c r="D18" t="str">
        <f t="shared" si="0"/>
        <v>insert into dw_srm.dim_expect_cat values ('17','17期');</v>
      </c>
    </row>
    <row r="19" spans="1:4" x14ac:dyDescent="0.35">
      <c r="A19" s="30" t="s">
        <v>337</v>
      </c>
      <c r="B19" s="6" t="s">
        <v>364</v>
      </c>
      <c r="D19" t="str">
        <f t="shared" si="0"/>
        <v>insert into dw_srm.dim_expect_cat values ('18','18期');</v>
      </c>
    </row>
    <row r="20" spans="1:4" x14ac:dyDescent="0.35">
      <c r="A20" s="30" t="s">
        <v>338</v>
      </c>
      <c r="B20" s="6" t="s">
        <v>365</v>
      </c>
      <c r="D20" t="str">
        <f t="shared" si="0"/>
        <v>insert into dw_srm.dim_expect_cat values ('19','19期');</v>
      </c>
    </row>
    <row r="21" spans="1:4" x14ac:dyDescent="0.35">
      <c r="A21" s="30" t="s">
        <v>339</v>
      </c>
      <c r="B21" s="6" t="s">
        <v>366</v>
      </c>
      <c r="D21" t="str">
        <f t="shared" si="0"/>
        <v>insert into dw_srm.dim_expect_cat values ('20','20期');</v>
      </c>
    </row>
    <row r="22" spans="1:4" x14ac:dyDescent="0.35">
      <c r="A22" s="30" t="s">
        <v>340</v>
      </c>
      <c r="B22" s="6" t="s">
        <v>372</v>
      </c>
      <c r="D22" t="str">
        <f t="shared" si="0"/>
        <v>insert into dw_srm.dim_expect_cat values ('21','21期');</v>
      </c>
    </row>
    <row r="23" spans="1:4" x14ac:dyDescent="0.35">
      <c r="A23" s="30" t="s">
        <v>341</v>
      </c>
      <c r="B23" s="6" t="s">
        <v>373</v>
      </c>
      <c r="D23" t="str">
        <f t="shared" si="0"/>
        <v>insert into dw_srm.dim_expect_cat values ('22','22期');</v>
      </c>
    </row>
    <row r="24" spans="1:4" x14ac:dyDescent="0.35">
      <c r="A24" s="30" t="s">
        <v>342</v>
      </c>
      <c r="B24" s="6" t="s">
        <v>374</v>
      </c>
      <c r="D24" t="str">
        <f t="shared" si="0"/>
        <v>insert into dw_srm.dim_expect_cat values ('23','23期');</v>
      </c>
    </row>
    <row r="25" spans="1:4" x14ac:dyDescent="0.35">
      <c r="A25" s="30" t="s">
        <v>301</v>
      </c>
      <c r="B25" s="6" t="s">
        <v>305</v>
      </c>
      <c r="D25" t="str">
        <f t="shared" si="0"/>
        <v>insert into dw_srm.dim_expect_cat values ('24','24期');</v>
      </c>
    </row>
    <row r="26" spans="1:4" x14ac:dyDescent="0.35">
      <c r="A26" s="30" t="s">
        <v>343</v>
      </c>
      <c r="B26" s="6" t="s">
        <v>375</v>
      </c>
      <c r="D26" t="str">
        <f t="shared" si="0"/>
        <v>insert into dw_srm.dim_expect_cat values ('25','25期');</v>
      </c>
    </row>
    <row r="27" spans="1:4" x14ac:dyDescent="0.35">
      <c r="A27" s="30" t="s">
        <v>344</v>
      </c>
      <c r="B27" s="6" t="s">
        <v>376</v>
      </c>
      <c r="D27" t="str">
        <f t="shared" si="0"/>
        <v>insert into dw_srm.dim_expect_cat values ('26','26期');</v>
      </c>
    </row>
    <row r="28" spans="1:4" x14ac:dyDescent="0.35">
      <c r="A28" s="30" t="s">
        <v>345</v>
      </c>
      <c r="B28" s="6" t="s">
        <v>377</v>
      </c>
      <c r="D28" t="str">
        <f t="shared" si="0"/>
        <v>insert into dw_srm.dim_expect_cat values ('27','27期');</v>
      </c>
    </row>
    <row r="29" spans="1:4" x14ac:dyDescent="0.35">
      <c r="A29" s="30" t="s">
        <v>346</v>
      </c>
      <c r="B29" s="6" t="s">
        <v>378</v>
      </c>
      <c r="D29" t="str">
        <f t="shared" si="0"/>
        <v>insert into dw_srm.dim_expect_cat values ('28','28期');</v>
      </c>
    </row>
    <row r="30" spans="1:4" x14ac:dyDescent="0.35">
      <c r="A30" s="30" t="s">
        <v>347</v>
      </c>
      <c r="B30" s="6" t="s">
        <v>379</v>
      </c>
      <c r="D30" t="str">
        <f t="shared" si="0"/>
        <v>insert into dw_srm.dim_expect_cat values ('29','29期');</v>
      </c>
    </row>
    <row r="31" spans="1:4" x14ac:dyDescent="0.35">
      <c r="A31" s="30" t="s">
        <v>348</v>
      </c>
      <c r="B31" s="6" t="s">
        <v>380</v>
      </c>
      <c r="D31" t="str">
        <f t="shared" si="0"/>
        <v>insert into dw_srm.dim_expect_cat values ('30','30期');</v>
      </c>
    </row>
    <row r="32" spans="1:4" x14ac:dyDescent="0.35">
      <c r="A32" s="30" t="s">
        <v>349</v>
      </c>
      <c r="B32" s="6" t="s">
        <v>381</v>
      </c>
      <c r="D32" t="str">
        <f t="shared" si="0"/>
        <v>insert into dw_srm.dim_expect_cat values ('31','31期');</v>
      </c>
    </row>
    <row r="33" spans="1:4" x14ac:dyDescent="0.35">
      <c r="A33" s="30" t="s">
        <v>350</v>
      </c>
      <c r="B33" s="6" t="s">
        <v>382</v>
      </c>
      <c r="D33" t="str">
        <f t="shared" si="0"/>
        <v>insert into dw_srm.dim_expect_cat values ('32','32期');</v>
      </c>
    </row>
    <row r="34" spans="1:4" x14ac:dyDescent="0.35">
      <c r="A34" s="30" t="s">
        <v>351</v>
      </c>
      <c r="B34" s="6" t="s">
        <v>383</v>
      </c>
      <c r="D34" t="str">
        <f t="shared" si="0"/>
        <v>insert into dw_srm.dim_expect_cat values ('33','33期');</v>
      </c>
    </row>
    <row r="35" spans="1:4" x14ac:dyDescent="0.35">
      <c r="A35" s="30" t="s">
        <v>352</v>
      </c>
      <c r="B35" s="6" t="s">
        <v>384</v>
      </c>
      <c r="D35" t="str">
        <f t="shared" si="0"/>
        <v>insert into dw_srm.dim_expect_cat values ('34','34期');</v>
      </c>
    </row>
    <row r="36" spans="1:4" x14ac:dyDescent="0.35">
      <c r="A36" s="30" t="s">
        <v>353</v>
      </c>
      <c r="B36" s="6" t="s">
        <v>385</v>
      </c>
      <c r="D36" t="str">
        <f t="shared" si="0"/>
        <v>insert into dw_srm.dim_expect_cat values ('35','35期');</v>
      </c>
    </row>
    <row r="37" spans="1:4" x14ac:dyDescent="0.35">
      <c r="A37" s="30" t="s">
        <v>302</v>
      </c>
      <c r="B37" s="6" t="s">
        <v>306</v>
      </c>
      <c r="D37" t="str">
        <f t="shared" si="0"/>
        <v>insert into dw_srm.dim_expect_cat values ('36','36期');</v>
      </c>
    </row>
    <row r="38" spans="1:4" x14ac:dyDescent="0.35">
      <c r="A38" s="6" t="s">
        <v>313</v>
      </c>
      <c r="B38" s="6" t="s">
        <v>386</v>
      </c>
      <c r="D38" t="str">
        <f t="shared" si="0"/>
        <v>insert into dw_srm.dim_expect_cat values ('其他','其他期限');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/>
  </sheetViews>
  <sheetFormatPr defaultRowHeight="16.5" x14ac:dyDescent="0.35"/>
  <cols>
    <col min="1" max="1" width="11.125" bestFit="1" customWidth="1"/>
    <col min="2" max="2" width="10.25" style="8" bestFit="1" customWidth="1"/>
    <col min="3" max="3" width="16.125" style="8" bestFit="1" customWidth="1"/>
    <col min="4" max="4" width="16.125" style="6" customWidth="1"/>
    <col min="5" max="5" width="16.625" style="8" bestFit="1" customWidth="1"/>
    <col min="6" max="6" width="14" style="6" bestFit="1" customWidth="1"/>
    <col min="7" max="7" width="15.875" style="8" bestFit="1" customWidth="1"/>
    <col min="8" max="8" width="37.75" customWidth="1"/>
    <col min="9" max="13" width="11.125" customWidth="1"/>
    <col min="16" max="16" width="13.125" bestFit="1" customWidth="1"/>
    <col min="18" max="18" width="16.125" style="8" bestFit="1" customWidth="1"/>
    <col min="20" max="20" width="11" customWidth="1"/>
  </cols>
  <sheetData>
    <row r="1" spans="1:20" x14ac:dyDescent="0.35">
      <c r="A1" s="17"/>
      <c r="B1" s="17" t="s">
        <v>114</v>
      </c>
      <c r="C1" s="17" t="s">
        <v>113</v>
      </c>
      <c r="D1" s="17" t="s">
        <v>82</v>
      </c>
      <c r="E1" s="17" t="s">
        <v>138</v>
      </c>
      <c r="F1" s="17" t="s">
        <v>83</v>
      </c>
      <c r="G1" s="17" t="s">
        <v>128</v>
      </c>
      <c r="H1" s="16"/>
      <c r="I1" s="16"/>
      <c r="J1" s="16"/>
      <c r="K1" s="16"/>
      <c r="L1" s="16"/>
      <c r="M1" s="16"/>
      <c r="R1" s="7" t="s">
        <v>85</v>
      </c>
      <c r="T1" s="2" t="s">
        <v>23</v>
      </c>
    </row>
    <row r="2" spans="1:20" x14ac:dyDescent="0.35">
      <c r="A2" s="19"/>
      <c r="B2" s="19" t="s">
        <v>115</v>
      </c>
      <c r="C2" s="17" t="s">
        <v>110</v>
      </c>
      <c r="D2" s="19" t="s">
        <v>92</v>
      </c>
      <c r="E2" s="17" t="s">
        <v>71</v>
      </c>
      <c r="F2" s="19" t="s">
        <v>90</v>
      </c>
      <c r="G2" s="17" t="s">
        <v>86</v>
      </c>
      <c r="H2" s="28" t="s">
        <v>139</v>
      </c>
      <c r="I2" s="15"/>
      <c r="J2" s="15"/>
      <c r="K2" s="15"/>
      <c r="L2" s="15"/>
      <c r="M2" s="15"/>
      <c r="P2" s="5" t="s">
        <v>53</v>
      </c>
      <c r="R2" s="9" t="s">
        <v>84</v>
      </c>
      <c r="T2" s="2" t="s">
        <v>63</v>
      </c>
    </row>
    <row r="3" spans="1:20" x14ac:dyDescent="0.35">
      <c r="A3" s="19"/>
      <c r="B3" s="19" t="s">
        <v>116</v>
      </c>
      <c r="C3" s="17" t="s">
        <v>111</v>
      </c>
      <c r="D3" s="19" t="s">
        <v>92</v>
      </c>
      <c r="E3" s="17" t="s">
        <v>71</v>
      </c>
      <c r="F3" s="19" t="s">
        <v>90</v>
      </c>
      <c r="G3" s="17" t="s">
        <v>86</v>
      </c>
      <c r="H3" s="28"/>
      <c r="I3" s="15"/>
      <c r="J3" s="15"/>
      <c r="K3" s="15"/>
      <c r="L3" s="15"/>
      <c r="M3" s="15"/>
      <c r="P3" s="5" t="s">
        <v>74</v>
      </c>
      <c r="R3" s="9" t="s">
        <v>88</v>
      </c>
      <c r="T3" s="2" t="s">
        <v>66</v>
      </c>
    </row>
    <row r="4" spans="1:20" x14ac:dyDescent="0.35">
      <c r="A4" s="19"/>
      <c r="B4" s="19" t="s">
        <v>117</v>
      </c>
      <c r="C4" s="17" t="s">
        <v>132</v>
      </c>
      <c r="D4" s="19" t="s">
        <v>92</v>
      </c>
      <c r="E4" s="17" t="s">
        <v>71</v>
      </c>
      <c r="F4" s="19" t="s">
        <v>90</v>
      </c>
      <c r="G4" s="17" t="s">
        <v>86</v>
      </c>
      <c r="H4" s="28"/>
      <c r="I4" s="15"/>
      <c r="J4" s="15"/>
      <c r="K4" s="15"/>
      <c r="L4" s="15"/>
      <c r="M4" s="15"/>
      <c r="P4" s="5" t="s">
        <v>68</v>
      </c>
      <c r="R4" s="9" t="s">
        <v>89</v>
      </c>
      <c r="T4" s="2"/>
    </row>
    <row r="5" spans="1:20" x14ac:dyDescent="0.35">
      <c r="A5" s="19"/>
      <c r="B5" s="19" t="s">
        <v>118</v>
      </c>
      <c r="C5" s="17" t="s">
        <v>133</v>
      </c>
      <c r="D5" s="19" t="s">
        <v>93</v>
      </c>
      <c r="E5" s="17" t="s">
        <v>104</v>
      </c>
      <c r="F5" s="19" t="s">
        <v>90</v>
      </c>
      <c r="G5" s="17" t="s">
        <v>86</v>
      </c>
      <c r="H5" s="28"/>
      <c r="I5" s="15"/>
      <c r="J5" s="15"/>
      <c r="K5" s="15"/>
      <c r="L5" s="15"/>
      <c r="M5" s="15"/>
      <c r="P5" s="5" t="s">
        <v>55</v>
      </c>
      <c r="R5" s="9" t="s">
        <v>55</v>
      </c>
      <c r="T5" s="2" t="s">
        <v>54</v>
      </c>
    </row>
    <row r="6" spans="1:20" s="1" customFormat="1" x14ac:dyDescent="0.35">
      <c r="A6" s="25"/>
      <c r="B6" s="19" t="s">
        <v>119</v>
      </c>
      <c r="C6" s="18" t="s">
        <v>134</v>
      </c>
      <c r="D6" s="25" t="s">
        <v>93</v>
      </c>
      <c r="E6" s="18" t="s">
        <v>70</v>
      </c>
      <c r="F6" s="25" t="s">
        <v>90</v>
      </c>
      <c r="G6" s="18" t="s">
        <v>86</v>
      </c>
      <c r="H6" s="28"/>
      <c r="I6" s="26"/>
      <c r="J6" s="26"/>
      <c r="K6" s="26"/>
      <c r="L6" s="21"/>
      <c r="M6" s="21"/>
      <c r="P6" s="22" t="s">
        <v>56</v>
      </c>
      <c r="R6" s="23" t="s">
        <v>75</v>
      </c>
      <c r="T6" s="1" t="s">
        <v>72</v>
      </c>
    </row>
    <row r="7" spans="1:20" s="1" customFormat="1" x14ac:dyDescent="0.35">
      <c r="A7" s="25"/>
      <c r="B7" s="19" t="s">
        <v>120</v>
      </c>
      <c r="C7" s="18" t="s">
        <v>112</v>
      </c>
      <c r="D7" s="25" t="s">
        <v>93</v>
      </c>
      <c r="E7" s="18" t="s">
        <v>70</v>
      </c>
      <c r="F7" s="25" t="s">
        <v>90</v>
      </c>
      <c r="G7" s="18" t="s">
        <v>86</v>
      </c>
      <c r="H7" s="28"/>
      <c r="I7" s="27"/>
      <c r="J7" s="27"/>
      <c r="K7" s="27"/>
      <c r="L7" s="21"/>
      <c r="M7" s="21"/>
      <c r="P7" s="22" t="s">
        <v>81</v>
      </c>
      <c r="R7" s="23" t="s">
        <v>98</v>
      </c>
      <c r="T7" s="1" t="s">
        <v>57</v>
      </c>
    </row>
    <row r="8" spans="1:20" x14ac:dyDescent="0.35">
      <c r="A8" s="19"/>
      <c r="B8" s="19" t="s">
        <v>121</v>
      </c>
      <c r="C8" s="17" t="s">
        <v>135</v>
      </c>
      <c r="D8" s="20" t="s">
        <v>94</v>
      </c>
      <c r="E8" s="17" t="s">
        <v>69</v>
      </c>
      <c r="F8" s="19" t="s">
        <v>90</v>
      </c>
      <c r="G8" s="17" t="s">
        <v>86</v>
      </c>
      <c r="H8" s="28"/>
      <c r="I8" s="15"/>
      <c r="J8" s="15"/>
      <c r="K8" s="15"/>
      <c r="L8" s="15"/>
      <c r="M8" s="15"/>
      <c r="P8" s="5" t="s">
        <v>58</v>
      </c>
      <c r="R8" s="10" t="s">
        <v>53</v>
      </c>
      <c r="T8" s="2" t="s">
        <v>53</v>
      </c>
    </row>
    <row r="9" spans="1:20" x14ac:dyDescent="0.35">
      <c r="A9" s="19"/>
      <c r="B9" s="19" t="s">
        <v>122</v>
      </c>
      <c r="C9" s="17" t="s">
        <v>136</v>
      </c>
      <c r="D9" s="20" t="s">
        <v>94</v>
      </c>
      <c r="E9" s="17" t="s">
        <v>69</v>
      </c>
      <c r="F9" s="19" t="s">
        <v>90</v>
      </c>
      <c r="G9" s="17" t="s">
        <v>86</v>
      </c>
      <c r="H9" s="28"/>
      <c r="I9" s="15"/>
      <c r="J9" s="15"/>
      <c r="K9" s="15"/>
      <c r="L9" s="15"/>
      <c r="M9" s="15"/>
      <c r="P9" s="4" t="s">
        <v>59</v>
      </c>
      <c r="R9" s="9" t="s">
        <v>73</v>
      </c>
      <c r="T9" s="2" t="s">
        <v>73</v>
      </c>
    </row>
    <row r="10" spans="1:20" x14ac:dyDescent="0.35">
      <c r="A10" s="19"/>
      <c r="B10" s="19" t="s">
        <v>123</v>
      </c>
      <c r="C10" s="17" t="s">
        <v>137</v>
      </c>
      <c r="D10" s="20" t="s">
        <v>94</v>
      </c>
      <c r="E10" s="17" t="s">
        <v>69</v>
      </c>
      <c r="F10" s="19" t="s">
        <v>90</v>
      </c>
      <c r="G10" s="17" t="s">
        <v>86</v>
      </c>
      <c r="H10" s="28"/>
      <c r="I10" s="15"/>
      <c r="J10" s="15"/>
      <c r="K10" s="15"/>
      <c r="L10" s="15"/>
      <c r="M10" s="15"/>
      <c r="P10" s="5" t="s">
        <v>60</v>
      </c>
      <c r="R10" s="9" t="s">
        <v>74</v>
      </c>
      <c r="T10" s="2" t="s">
        <v>74</v>
      </c>
    </row>
    <row r="11" spans="1:20" x14ac:dyDescent="0.35">
      <c r="A11" s="19"/>
      <c r="B11" s="19" t="s">
        <v>124</v>
      </c>
      <c r="C11" s="17" t="s">
        <v>76</v>
      </c>
      <c r="D11" s="19" t="s">
        <v>95</v>
      </c>
      <c r="E11" s="17" t="s">
        <v>67</v>
      </c>
      <c r="F11" s="19" t="s">
        <v>91</v>
      </c>
      <c r="G11" s="17" t="s">
        <v>87</v>
      </c>
      <c r="H11" s="28" t="s">
        <v>140</v>
      </c>
      <c r="I11" s="15"/>
      <c r="J11" s="15"/>
      <c r="K11" s="15"/>
      <c r="L11" s="15"/>
      <c r="M11" s="15"/>
      <c r="P11" s="5" t="s">
        <v>61</v>
      </c>
      <c r="R11" s="9" t="s">
        <v>76</v>
      </c>
      <c r="T11" s="2" t="s">
        <v>67</v>
      </c>
    </row>
    <row r="12" spans="1:20" x14ac:dyDescent="0.35">
      <c r="A12" s="19"/>
      <c r="B12" s="19" t="s">
        <v>125</v>
      </c>
      <c r="C12" s="17" t="s">
        <v>77</v>
      </c>
      <c r="D12" s="19" t="s">
        <v>95</v>
      </c>
      <c r="E12" s="17" t="s">
        <v>67</v>
      </c>
      <c r="F12" s="19" t="s">
        <v>91</v>
      </c>
      <c r="G12" s="17" t="s">
        <v>87</v>
      </c>
      <c r="H12" s="28"/>
      <c r="I12" s="15"/>
      <c r="J12" s="15"/>
      <c r="K12" s="15"/>
      <c r="L12" s="15"/>
      <c r="M12" s="15"/>
      <c r="P12" s="4" t="s">
        <v>62</v>
      </c>
      <c r="R12" s="9" t="s">
        <v>77</v>
      </c>
      <c r="T12" s="2"/>
    </row>
    <row r="13" spans="1:20" x14ac:dyDescent="0.35">
      <c r="A13" s="19"/>
      <c r="B13" s="19" t="s">
        <v>126</v>
      </c>
      <c r="C13" s="17" t="s">
        <v>105</v>
      </c>
      <c r="D13" s="19" t="s">
        <v>96</v>
      </c>
      <c r="E13" s="17" t="s">
        <v>107</v>
      </c>
      <c r="F13" s="19" t="s">
        <v>91</v>
      </c>
      <c r="G13" s="17" t="s">
        <v>87</v>
      </c>
      <c r="H13" s="28"/>
      <c r="I13" s="15"/>
      <c r="J13" s="15"/>
      <c r="K13" s="15"/>
      <c r="L13" s="15"/>
      <c r="M13" s="15"/>
      <c r="P13" s="4" t="s">
        <v>63</v>
      </c>
      <c r="R13" s="9" t="s">
        <v>79</v>
      </c>
    </row>
    <row r="14" spans="1:20" x14ac:dyDescent="0.35">
      <c r="A14" s="19"/>
      <c r="B14" s="19" t="s">
        <v>127</v>
      </c>
      <c r="C14" s="17" t="s">
        <v>106</v>
      </c>
      <c r="D14" s="19" t="s">
        <v>96</v>
      </c>
      <c r="E14" s="17" t="s">
        <v>78</v>
      </c>
      <c r="F14" s="19" t="s">
        <v>91</v>
      </c>
      <c r="G14" s="17" t="s">
        <v>87</v>
      </c>
      <c r="H14" s="28"/>
      <c r="I14" s="15"/>
      <c r="J14" s="15"/>
      <c r="K14" s="15"/>
      <c r="L14" s="15"/>
      <c r="M14" s="15"/>
      <c r="P14" s="5" t="s">
        <v>64</v>
      </c>
      <c r="R14" s="9" t="s">
        <v>80</v>
      </c>
    </row>
    <row r="15" spans="1:20" x14ac:dyDescent="0.35">
      <c r="P15" s="5" t="s">
        <v>65</v>
      </c>
    </row>
    <row r="16" spans="1:20" x14ac:dyDescent="0.35">
      <c r="A16" t="str">
        <f>"insert into dw_srm.dim_product_cat values ('"&amp;B2&amp;"','"&amp;C2&amp;"','"&amp;D2&amp;"','"&amp;E2&amp;"','"&amp;F2&amp;"','"&amp;G2&amp;"');"</f>
        <v>insert into dw_srm.dim_product_cat values ('010101','专科包','0101','信用贷','01','信贷类');</v>
      </c>
      <c r="P16" s="4" t="s">
        <v>66</v>
      </c>
    </row>
    <row r="17" spans="1:1" x14ac:dyDescent="0.35">
      <c r="A17" t="str">
        <f t="shared" ref="A17:A28" si="0">"insert into dw_srm.dim_product_cat values ('"&amp;B3&amp;"','"&amp;C3&amp;"','"&amp;D3&amp;"','"&amp;E3&amp;"','"&amp;F3&amp;"','"&amp;G3&amp;"');"</f>
        <v>insert into dw_srm.dim_product_cat values ('010102','本科包','0101','信用贷','01','信贷类');</v>
      </c>
    </row>
    <row r="18" spans="1:1" x14ac:dyDescent="0.35">
      <c r="A18" t="str">
        <f t="shared" si="0"/>
        <v>insert into dw_srm.dim_product_cat values ('010103','名校贷应急包','0101','信用贷','01','信贷类');</v>
      </c>
    </row>
    <row r="19" spans="1:1" x14ac:dyDescent="0.35">
      <c r="A19" t="str">
        <f t="shared" si="0"/>
        <v>insert into dw_srm.dim_product_cat values ('010201','大额借','0102','麦子借款','01','信贷类');</v>
      </c>
    </row>
    <row r="20" spans="1:1" x14ac:dyDescent="0.35">
      <c r="A20" t="str">
        <f t="shared" si="0"/>
        <v>insert into dw_srm.dim_product_cat values ('010202','学历贷','0102','麦子借款','01','信贷类');</v>
      </c>
    </row>
    <row r="21" spans="1:1" x14ac:dyDescent="0.35">
      <c r="A21" t="str">
        <f t="shared" si="0"/>
        <v>insert into dw_srm.dim_product_cat values ('010203','消费贷','0102','麦子借款','01','信贷类');</v>
      </c>
    </row>
    <row r="22" spans="1:1" x14ac:dyDescent="0.35">
      <c r="A22" t="str">
        <f t="shared" si="0"/>
        <v>insert into dw_srm.dim_product_cat values ('010301','白领包','0103','白领贷','01','信贷类');</v>
      </c>
    </row>
    <row r="23" spans="1:1" x14ac:dyDescent="0.35">
      <c r="A23" t="str">
        <f t="shared" si="0"/>
        <v>insert into dw_srm.dim_product_cat values ('010302','社保贷','0103','白领贷','01','信贷类');</v>
      </c>
    </row>
    <row r="24" spans="1:1" x14ac:dyDescent="0.35">
      <c r="A24" t="str">
        <f t="shared" si="0"/>
        <v>insert into dw_srm.dim_product_cat values ('010303','应届贷','0103','白领贷','01','信贷类');</v>
      </c>
    </row>
    <row r="25" spans="1:1" x14ac:dyDescent="0.35">
      <c r="A25" t="str">
        <f t="shared" si="0"/>
        <v>insert into dw_srm.dim_product_cat values ('020101','教育分期','0201','麦芽分期','02','消费金融类');</v>
      </c>
    </row>
    <row r="26" spans="1:1" x14ac:dyDescent="0.35">
      <c r="A26" t="str">
        <f t="shared" si="0"/>
        <v>insert into dw_srm.dim_product_cat values ('020102','医美分期','0201','麦芽分期','02','消费金融类');</v>
      </c>
    </row>
    <row r="27" spans="1:1" x14ac:dyDescent="0.35">
      <c r="A27" t="str">
        <f t="shared" si="0"/>
        <v>insert into dw_srm.dim_product_cat values ('020201','爱美呗分期(非担保)','0202','爱美呗分期','02','消费金融类');</v>
      </c>
    </row>
    <row r="28" spans="1:1" x14ac:dyDescent="0.35">
      <c r="A28" t="str">
        <f t="shared" si="0"/>
        <v>insert into dw_srm.dim_product_cat values ('020202','爱美呗分期(担保)','0202','爱美呗分期','02','消费金融类');</v>
      </c>
    </row>
  </sheetData>
  <mergeCells count="2">
    <mergeCell ref="H2:H10"/>
    <mergeCell ref="H11:H1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fact_vintage_snapshot_m</vt:lpstr>
      <vt:lpstr>dim_user_cat</vt:lpstr>
      <vt:lpstr>dim_level_cat</vt:lpstr>
      <vt:lpstr>dim_mob</vt:lpstr>
      <vt:lpstr>dim_expect_cat</vt:lpstr>
      <vt:lpstr>dim_product_cat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黄威</dc:creator>
  <cp:lastModifiedBy>黄威</cp:lastModifiedBy>
  <dcterms:created xsi:type="dcterms:W3CDTF">2018-11-26T01:30:54Z</dcterms:created>
  <dcterms:modified xsi:type="dcterms:W3CDTF">2018-11-28T05:17:16Z</dcterms:modified>
</cp:coreProperties>
</file>