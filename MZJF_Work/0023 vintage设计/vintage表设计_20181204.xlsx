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3 vintage设计\"/>
    </mc:Choice>
  </mc:AlternateContent>
  <bookViews>
    <workbookView xWindow="0" yWindow="0" windowWidth="15360" windowHeight="7575" tabRatio="881" firstSheet="13" activeTab="16"/>
  </bookViews>
  <sheets>
    <sheet name="fact_vintage_snapshot_m" sheetId="1" r:id="rId1"/>
    <sheet name="dim_user_cat" sheetId="3" r:id="rId2"/>
    <sheet name="dim_level_cat" sheetId="4" r:id="rId3"/>
    <sheet name="dim_mob" sheetId="5" r:id="rId4"/>
    <sheet name="dim_expect_cat" sheetId="6" r:id="rId5"/>
    <sheet name="dim_product_cat" sheetId="2" r:id="rId6"/>
    <sheet name="dim_date" sheetId="7" r:id="rId7"/>
    <sheet name="dim_gender_cat" sheetId="8" r:id="rId8"/>
    <sheet name="dim_age_cat" sheetId="9" r:id="rId9"/>
    <sheet name="dim_education_cat" sheetId="10" r:id="rId10"/>
    <sheet name="dim_school_cat" sheetId="11" r:id="rId11"/>
    <sheet name="dim_loan_amt_cat" sheetId="12" r:id="rId12"/>
    <sheet name="dim_region_cat" sheetId="13" r:id="rId13"/>
    <sheet name="dim_td_score_cat" sheetId="14" r:id="rId14"/>
    <sheet name="dim_td_platform_7d_cat" sheetId="15" r:id="rId15"/>
    <sheet name="dim_graduate_cat" sheetId="16" r:id="rId16"/>
    <sheet name="dim_amc_cat" sheetId="17" r:id="rId17"/>
    <sheet name="dim_overdue_m3p_cat" sheetId="18" r:id="rId18"/>
    <sheet name="dim_overdue_m6p_cat" sheetId="19" r:id="rId19"/>
  </sheets>
  <definedNames>
    <definedName name="_xlnm._FilterDatabase" localSheetId="12" hidden="1">dim_region_cat!$A$1:$D$32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7" l="1"/>
  <c r="D3" i="19" l="1"/>
  <c r="D2" i="19"/>
  <c r="D3" i="18"/>
  <c r="D2" i="18"/>
  <c r="D4" i="17"/>
  <c r="D3" i="17"/>
  <c r="D2" i="17"/>
  <c r="D3" i="16"/>
  <c r="D2" i="16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D8" i="15"/>
  <c r="D7" i="15"/>
  <c r="D6" i="15"/>
  <c r="D5" i="15"/>
  <c r="D4" i="15"/>
  <c r="D3" i="15"/>
  <c r="D2" i="15"/>
  <c r="D12" i="14"/>
  <c r="D11" i="14"/>
  <c r="D10" i="14"/>
  <c r="D9" i="14"/>
  <c r="D8" i="14"/>
  <c r="D7" i="14"/>
  <c r="D6" i="14"/>
  <c r="D5" i="14"/>
  <c r="D4" i="14"/>
  <c r="D3" i="14"/>
  <c r="D2" i="14"/>
  <c r="D7" i="11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D8" i="4"/>
  <c r="D13" i="12"/>
  <c r="D12" i="12"/>
  <c r="D11" i="12"/>
  <c r="D10" i="12"/>
  <c r="D9" i="12"/>
  <c r="D8" i="12"/>
  <c r="D7" i="12"/>
  <c r="D6" i="12"/>
  <c r="D5" i="12"/>
  <c r="D4" i="12"/>
  <c r="D3" i="12"/>
  <c r="D2" i="12"/>
  <c r="D6" i="11"/>
  <c r="D5" i="11"/>
  <c r="D4" i="11"/>
  <c r="D3" i="11"/>
  <c r="D2" i="11"/>
  <c r="D3" i="10"/>
  <c r="D4" i="10"/>
  <c r="D5" i="10"/>
  <c r="D6" i="10"/>
  <c r="D7" i="10"/>
  <c r="D8" i="10"/>
  <c r="D2" i="10"/>
  <c r="D3" i="9"/>
  <c r="D4" i="9"/>
  <c r="D5" i="9"/>
  <c r="D6" i="9"/>
  <c r="D2" i="9"/>
  <c r="E4" i="8"/>
  <c r="E3" i="8"/>
  <c r="E2" i="8"/>
  <c r="D2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" i="4"/>
  <c r="D4" i="4"/>
  <c r="D5" i="4"/>
  <c r="D6" i="4"/>
  <c r="D7" i="4"/>
  <c r="D9" i="4"/>
  <c r="D2" i="4"/>
  <c r="D3" i="3"/>
  <c r="D2" i="3"/>
  <c r="A20" i="2"/>
</calcChain>
</file>

<file path=xl/sharedStrings.xml><?xml version="1.0" encoding="utf-8"?>
<sst xmlns="http://schemas.openxmlformats.org/spreadsheetml/2006/main" count="666" uniqueCount="512">
  <si>
    <t>放款金额</t>
    <phoneticPr fontId="2" type="noConversion"/>
  </si>
  <si>
    <t>产品小类</t>
    <phoneticPr fontId="2" type="noConversion"/>
  </si>
  <si>
    <t>白领包</t>
  </si>
  <si>
    <t>其他大额贷</t>
  </si>
  <si>
    <t>大额借</t>
  </si>
  <si>
    <t>大额借（测试）</t>
  </si>
  <si>
    <t>消费贷</t>
  </si>
  <si>
    <t>消费能力贷</t>
  </si>
  <si>
    <t>学历贷</t>
  </si>
  <si>
    <t>高学历贷</t>
  </si>
  <si>
    <t>信用贷（本）</t>
  </si>
  <si>
    <t>名校贷</t>
  </si>
  <si>
    <t>本科包</t>
  </si>
  <si>
    <t>名校贷应急包</t>
  </si>
  <si>
    <t>信用贷（专）</t>
  </si>
  <si>
    <t>专科包</t>
  </si>
  <si>
    <t>麦芽分期</t>
  </si>
  <si>
    <t>社保贷</t>
  </si>
  <si>
    <t>白领贷</t>
  </si>
  <si>
    <t>麦子借款</t>
  </si>
  <si>
    <t>信用贷</t>
  </si>
  <si>
    <t>学历贷</t>
    <phoneticPr fontId="2" type="noConversion"/>
  </si>
  <si>
    <t>社保贷</t>
    <phoneticPr fontId="2" type="noConversion"/>
  </si>
  <si>
    <t>应届贷</t>
    <phoneticPr fontId="2" type="noConversion"/>
  </si>
  <si>
    <t>高学历贷</t>
    <phoneticPr fontId="2" type="noConversion"/>
  </si>
  <si>
    <t>教育分期</t>
  </si>
  <si>
    <t>医美分期</t>
  </si>
  <si>
    <t>爱美呗分期</t>
  </si>
  <si>
    <t>爱美呗分期(非担保)</t>
  </si>
  <si>
    <t>爱美呗分期(担保)</t>
  </si>
  <si>
    <t>消费贷</t>
    <phoneticPr fontId="2" type="noConversion"/>
  </si>
  <si>
    <t>product_type_cd</t>
    <phoneticPr fontId="2" type="noConversion"/>
  </si>
  <si>
    <t>product_line_cd</t>
    <phoneticPr fontId="2" type="noConversion"/>
  </si>
  <si>
    <t>信用贷（专）</t>
    <phoneticPr fontId="2" type="noConversion"/>
  </si>
  <si>
    <t>product_name</t>
    <phoneticPr fontId="2" type="noConversion"/>
  </si>
  <si>
    <t>信贷类</t>
  </si>
  <si>
    <t>消费金融类</t>
  </si>
  <si>
    <t>信用贷（本）</t>
    <phoneticPr fontId="2" type="noConversion"/>
  </si>
  <si>
    <t>应急包</t>
    <phoneticPr fontId="2" type="noConversion"/>
  </si>
  <si>
    <t>01</t>
    <phoneticPr fontId="2" type="noConversion"/>
  </si>
  <si>
    <t>02</t>
    <phoneticPr fontId="2" type="noConversion"/>
  </si>
  <si>
    <t>0101</t>
    <phoneticPr fontId="2" type="noConversion"/>
  </si>
  <si>
    <t>0102</t>
    <phoneticPr fontId="2" type="noConversion"/>
  </si>
  <si>
    <t>0103</t>
    <phoneticPr fontId="2" type="noConversion"/>
  </si>
  <si>
    <t>0201</t>
    <phoneticPr fontId="2" type="noConversion"/>
  </si>
  <si>
    <t>0202</t>
    <phoneticPr fontId="2" type="noConversion"/>
  </si>
  <si>
    <t>消费能力贷</t>
    <phoneticPr fontId="2" type="noConversion"/>
  </si>
  <si>
    <t>爱美呗分期(非担保)</t>
    <phoneticPr fontId="2" type="noConversion"/>
  </si>
  <si>
    <t>爱美呗分期(担保)</t>
    <phoneticPr fontId="2" type="noConversion"/>
  </si>
  <si>
    <t>专科包</t>
    <phoneticPr fontId="2" type="noConversion"/>
  </si>
  <si>
    <t>本科包</t>
    <phoneticPr fontId="2" type="noConversion"/>
  </si>
  <si>
    <t>消费贷</t>
    <phoneticPr fontId="2" type="noConversion"/>
  </si>
  <si>
    <t>product_name</t>
    <phoneticPr fontId="2" type="noConversion"/>
  </si>
  <si>
    <t>product_cd</t>
    <phoneticPr fontId="2" type="noConversion"/>
  </si>
  <si>
    <t>010101</t>
    <phoneticPr fontId="2" type="noConversion"/>
  </si>
  <si>
    <t>010102</t>
    <phoneticPr fontId="2" type="noConversion"/>
  </si>
  <si>
    <t>010103</t>
    <phoneticPr fontId="2" type="noConversion"/>
  </si>
  <si>
    <t>010201</t>
    <phoneticPr fontId="2" type="noConversion"/>
  </si>
  <si>
    <t>010202</t>
    <phoneticPr fontId="2" type="noConversion"/>
  </si>
  <si>
    <t>010203</t>
    <phoneticPr fontId="2" type="noConversion"/>
  </si>
  <si>
    <t>010301</t>
    <phoneticPr fontId="2" type="noConversion"/>
  </si>
  <si>
    <t>010302</t>
    <phoneticPr fontId="2" type="noConversion"/>
  </si>
  <si>
    <t>010303</t>
    <phoneticPr fontId="2" type="noConversion"/>
  </si>
  <si>
    <t>020101</t>
    <phoneticPr fontId="2" type="noConversion"/>
  </si>
  <si>
    <t>020102</t>
    <phoneticPr fontId="2" type="noConversion"/>
  </si>
  <si>
    <t>020201</t>
    <phoneticPr fontId="2" type="noConversion"/>
  </si>
  <si>
    <t>020202</t>
    <phoneticPr fontId="2" type="noConversion"/>
  </si>
  <si>
    <t>product_line_name</t>
    <phoneticPr fontId="2" type="noConversion"/>
  </si>
  <si>
    <t>名校贷应急包</t>
    <phoneticPr fontId="2" type="noConversion"/>
  </si>
  <si>
    <t>大额借</t>
    <phoneticPr fontId="2" type="noConversion"/>
  </si>
  <si>
    <t>学历贷</t>
    <phoneticPr fontId="2" type="noConversion"/>
  </si>
  <si>
    <t>应届贷</t>
    <phoneticPr fontId="2" type="noConversion"/>
  </si>
  <si>
    <t>product_type_name</t>
    <phoneticPr fontId="2" type="noConversion"/>
  </si>
  <si>
    <t>信贷类 product_name 是业务线的产品名称</t>
    <phoneticPr fontId="2" type="noConversion"/>
  </si>
  <si>
    <t>product_name 是bia p_name</t>
    <phoneticPr fontId="2" type="noConversion"/>
  </si>
  <si>
    <t>string</t>
  </si>
  <si>
    <t>bo_id</t>
  </si>
  <si>
    <t>user_id</t>
  </si>
  <si>
    <t>bigint</t>
  </si>
  <si>
    <t>标的ID</t>
  </si>
  <si>
    <t>用户ID</t>
  </si>
  <si>
    <t>string</t>
    <phoneticPr fontId="2" type="noConversion"/>
  </si>
  <si>
    <t>bo_finish_price</t>
    <phoneticPr fontId="2" type="noConversion"/>
  </si>
  <si>
    <t>mob</t>
  </si>
  <si>
    <t>expect_type</t>
  </si>
  <si>
    <t>p_key</t>
  </si>
  <si>
    <t>int</t>
  </si>
  <si>
    <t>stat_month</t>
    <phoneticPr fontId="2" type="noConversion"/>
  </si>
  <si>
    <t>统计年月 年-月</t>
    <phoneticPr fontId="2" type="noConversion"/>
  </si>
  <si>
    <t>dpd1+未还本金</t>
    <phoneticPr fontId="2" type="noConversion"/>
  </si>
  <si>
    <t>dpd10+未还本金</t>
    <phoneticPr fontId="2" type="noConversion"/>
  </si>
  <si>
    <t>dpd30+未还本金</t>
    <phoneticPr fontId="2" type="noConversion"/>
  </si>
  <si>
    <t>dpd60+未还本金</t>
    <phoneticPr fontId="2" type="noConversion"/>
  </si>
  <si>
    <t>dpd90+未还本金</t>
    <phoneticPr fontId="2" type="noConversion"/>
  </si>
  <si>
    <t>dim</t>
    <phoneticPr fontId="2" type="noConversion"/>
  </si>
  <si>
    <t>客户类型</t>
    <phoneticPr fontId="2" type="noConversion"/>
  </si>
  <si>
    <t>客户等级</t>
    <phoneticPr fontId="2" type="noConversion"/>
  </si>
  <si>
    <t>MOB</t>
    <phoneticPr fontId="2" type="noConversion"/>
  </si>
  <si>
    <t>产品期限</t>
    <phoneticPr fontId="2" type="noConversion"/>
  </si>
  <si>
    <t>p_key</t>
    <phoneticPr fontId="2" type="noConversion"/>
  </si>
  <si>
    <t>产品小类编码</t>
    <phoneticPr fontId="2" type="noConversion"/>
  </si>
  <si>
    <t>放款时间</t>
    <phoneticPr fontId="2" type="noConversion"/>
  </si>
  <si>
    <t>mob</t>
    <phoneticPr fontId="2" type="noConversion"/>
  </si>
  <si>
    <t>mob_desc</t>
    <phoneticPr fontId="2" type="noConversion"/>
  </si>
  <si>
    <t>mob1</t>
    <phoneticPr fontId="2" type="noConversion"/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</si>
  <si>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</si>
  <si>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</si>
  <si>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</si>
  <si>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</si>
  <si>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</si>
  <si>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</si>
  <si>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</si>
  <si>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</si>
  <si>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</si>
  <si>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</si>
  <si>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mob12</t>
  </si>
  <si>
    <t>mob13</t>
  </si>
  <si>
    <t>mob14</t>
  </si>
  <si>
    <t>mob15</t>
  </si>
  <si>
    <t>mob16</t>
  </si>
  <si>
    <t>mob17</t>
  </si>
  <si>
    <t>mob18</t>
  </si>
  <si>
    <t>mob19</t>
  </si>
  <si>
    <t>mob20</t>
  </si>
  <si>
    <t>mob21</t>
  </si>
  <si>
    <t>mob22</t>
  </si>
  <si>
    <t>mob23</t>
  </si>
  <si>
    <t>mob24</t>
  </si>
  <si>
    <t>mob25</t>
  </si>
  <si>
    <t>mob26</t>
  </si>
  <si>
    <t>mob27</t>
  </si>
  <si>
    <t>mob28</t>
  </si>
  <si>
    <t>mob29</t>
  </si>
  <si>
    <t>mob30</t>
  </si>
  <si>
    <t>mob31</t>
  </si>
  <si>
    <t>mob32</t>
  </si>
  <si>
    <t>mob33</t>
  </si>
  <si>
    <t>mob34</t>
  </si>
  <si>
    <t>mob35</t>
  </si>
  <si>
    <t>mob36</t>
  </si>
  <si>
    <t>mob37</t>
  </si>
  <si>
    <t>mob38</t>
  </si>
  <si>
    <t>mob39</t>
  </si>
  <si>
    <t>mob40</t>
  </si>
  <si>
    <t>mob41</t>
  </si>
  <si>
    <t>mob42</t>
  </si>
  <si>
    <t>mob43</t>
  </si>
  <si>
    <t>mob44</t>
  </si>
  <si>
    <t>mob45</t>
  </si>
  <si>
    <t>mob46</t>
  </si>
  <si>
    <t>mob47</t>
  </si>
  <si>
    <t>mob48</t>
  </si>
  <si>
    <t>mob49</t>
  </si>
  <si>
    <t>mob50</t>
  </si>
  <si>
    <t>mob51</t>
  </si>
  <si>
    <t>mob52</t>
  </si>
  <si>
    <t>mob53</t>
  </si>
  <si>
    <t>mob54</t>
  </si>
  <si>
    <t>mob55</t>
  </si>
  <si>
    <t>mob56</t>
  </si>
  <si>
    <t>mob57</t>
  </si>
  <si>
    <t>mob58</t>
  </si>
  <si>
    <t>mob59</t>
  </si>
  <si>
    <t>mob60</t>
  </si>
  <si>
    <t>mob61</t>
  </si>
  <si>
    <t>mob62</t>
  </si>
  <si>
    <t>mob63</t>
  </si>
  <si>
    <t>mob64</t>
  </si>
  <si>
    <t>mob65</t>
  </si>
  <si>
    <t>mob66</t>
  </si>
  <si>
    <t>mob67</t>
  </si>
  <si>
    <t>mob68</t>
  </si>
  <si>
    <t>mob69</t>
  </si>
  <si>
    <t>mob70</t>
  </si>
  <si>
    <t>mob71</t>
  </si>
  <si>
    <t>mob72</t>
  </si>
  <si>
    <t>mob73</t>
  </si>
  <si>
    <t>mob74</t>
  </si>
  <si>
    <t>mob75</t>
  </si>
  <si>
    <t>mob76</t>
  </si>
  <si>
    <t>mob77</t>
  </si>
  <si>
    <t>mob78</t>
  </si>
  <si>
    <t>mob79</t>
  </si>
  <si>
    <t>mob80</t>
  </si>
  <si>
    <t>mob81</t>
  </si>
  <si>
    <t>mob82</t>
  </si>
  <si>
    <t>mob83</t>
  </si>
  <si>
    <t>mob84</t>
  </si>
  <si>
    <t>mob85</t>
  </si>
  <si>
    <t>mob86</t>
  </si>
  <si>
    <t>mob87</t>
  </si>
  <si>
    <t>mob88</t>
  </si>
  <si>
    <t>mob89</t>
  </si>
  <si>
    <t>mob90</t>
  </si>
  <si>
    <t>mob91</t>
  </si>
  <si>
    <t>mob92</t>
  </si>
  <si>
    <t>mob93</t>
  </si>
  <si>
    <t>mob94</t>
  </si>
  <si>
    <t>mob95</t>
  </si>
  <si>
    <t>mob96</t>
  </si>
  <si>
    <t>mob97</t>
  </si>
  <si>
    <t>mob98</t>
  </si>
  <si>
    <t>mob99</t>
  </si>
  <si>
    <t>mob100</t>
  </si>
  <si>
    <t>mob101</t>
  </si>
  <si>
    <t>mob102</t>
  </si>
  <si>
    <t>mob103</t>
  </si>
  <si>
    <t>mob104</t>
  </si>
  <si>
    <t>mob105</t>
  </si>
  <si>
    <t>mob106</t>
  </si>
  <si>
    <t>mob107</t>
  </si>
  <si>
    <t>mob108</t>
  </si>
  <si>
    <t>mob109</t>
  </si>
  <si>
    <t>mob110</t>
  </si>
  <si>
    <t>mob111</t>
  </si>
  <si>
    <t>mob112</t>
  </si>
  <si>
    <t>mob113</t>
  </si>
  <si>
    <t>mob114</t>
  </si>
  <si>
    <t>mob115</t>
  </si>
  <si>
    <t>mob116</t>
  </si>
  <si>
    <t>mob117</t>
  </si>
  <si>
    <t>mob118</t>
  </si>
  <si>
    <t>mob119</t>
  </si>
  <si>
    <t>mob120</t>
  </si>
  <si>
    <t>mob0</t>
    <phoneticPr fontId="2" type="noConversion"/>
  </si>
  <si>
    <t>expect_type</t>
    <phoneticPr fontId="2" type="noConversion"/>
  </si>
  <si>
    <t>user_type</t>
    <phoneticPr fontId="2" type="noConversion"/>
  </si>
  <si>
    <t>level_type</t>
    <phoneticPr fontId="2" type="noConversion"/>
  </si>
  <si>
    <t>product_cd</t>
    <phoneticPr fontId="2" type="noConversion"/>
  </si>
  <si>
    <t>user_type</t>
    <phoneticPr fontId="2" type="noConversion"/>
  </si>
  <si>
    <t>user_type_desc</t>
    <phoneticPr fontId="2" type="noConversion"/>
  </si>
  <si>
    <t>level_type</t>
    <phoneticPr fontId="2" type="noConversion"/>
  </si>
  <si>
    <t>level_type_desc</t>
    <phoneticPr fontId="2" type="noConversion"/>
  </si>
  <si>
    <t>expect_type_desc</t>
    <phoneticPr fontId="2" type="noConversion"/>
  </si>
  <si>
    <t>24</t>
  </si>
  <si>
    <t>36</t>
  </si>
  <si>
    <t>6期</t>
  </si>
  <si>
    <t>12期</t>
  </si>
  <si>
    <t>24期</t>
  </si>
  <si>
    <t>36期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</si>
  <si>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</si>
  <si>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</si>
  <si>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</si>
  <si>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</si>
  <si>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</si>
  <si>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</si>
  <si>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其他</t>
    <phoneticPr fontId="2" type="noConversion"/>
  </si>
  <si>
    <t>A等级</t>
    <phoneticPr fontId="2" type="noConversion"/>
  </si>
  <si>
    <t>B等级</t>
    <phoneticPr fontId="2" type="noConversion"/>
  </si>
  <si>
    <t>C等级</t>
    <phoneticPr fontId="2" type="noConversion"/>
  </si>
  <si>
    <t>D等级</t>
    <phoneticPr fontId="2" type="noConversion"/>
  </si>
  <si>
    <t>E等级</t>
    <phoneticPr fontId="2" type="noConversion"/>
  </si>
  <si>
    <t>F等级</t>
    <phoneticPr fontId="2" type="noConversion"/>
  </si>
  <si>
    <t>其他等级</t>
    <phoneticPr fontId="2" type="noConversion"/>
  </si>
  <si>
    <t>1</t>
    <phoneticPr fontId="2" type="noConversion"/>
  </si>
  <si>
    <t>2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</si>
  <si>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</si>
  <si>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</si>
  <si>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</si>
  <si>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</si>
  <si>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</si>
  <si>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</si>
  <si>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</si>
  <si>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</si>
  <si>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</si>
  <si>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</si>
  <si>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</si>
  <si>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</si>
  <si>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</si>
  <si>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</si>
  <si>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</si>
  <si>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</si>
  <si>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</si>
  <si>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</si>
  <si>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</si>
  <si>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</si>
  <si>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</si>
  <si>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</si>
  <si>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</si>
  <si>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</si>
  <si>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</si>
  <si>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</si>
  <si>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</si>
  <si>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</si>
  <si>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</si>
  <si>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</si>
  <si>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</si>
  <si>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1期</t>
    <phoneticPr fontId="2" type="noConversion"/>
  </si>
  <si>
    <t>8期</t>
  </si>
  <si>
    <t>9期</t>
  </si>
  <si>
    <t>10期</t>
  </si>
  <si>
    <t>11期</t>
  </si>
  <si>
    <t>13期</t>
  </si>
  <si>
    <t>14期</t>
  </si>
  <si>
    <t>15期</t>
  </si>
  <si>
    <t>16期</t>
  </si>
  <si>
    <t>17期</t>
  </si>
  <si>
    <t>18期</t>
  </si>
  <si>
    <t>19期</t>
  </si>
  <si>
    <t>20期</t>
  </si>
  <si>
    <t>2期</t>
  </si>
  <si>
    <t>3期</t>
  </si>
  <si>
    <t>4期</t>
  </si>
  <si>
    <t>5期</t>
  </si>
  <si>
    <t>7期</t>
  </si>
  <si>
    <t>21期</t>
  </si>
  <si>
    <t>22期</t>
  </si>
  <si>
    <t>23期</t>
  </si>
  <si>
    <t>25期</t>
  </si>
  <si>
    <t>26期</t>
  </si>
  <si>
    <t>27期</t>
  </si>
  <si>
    <t>28期</t>
  </si>
  <si>
    <t>29期</t>
  </si>
  <si>
    <t>30期</t>
  </si>
  <si>
    <t>31期</t>
  </si>
  <si>
    <t>32期</t>
  </si>
  <si>
    <t>33期</t>
  </si>
  <si>
    <t>34期</t>
  </si>
  <si>
    <t>35期</t>
  </si>
  <si>
    <t>dpd1_unrepay_price_b</t>
    <phoneticPr fontId="2" type="noConversion"/>
  </si>
  <si>
    <t>dpd10_unrepay_price_b</t>
    <phoneticPr fontId="2" type="noConversion"/>
  </si>
  <si>
    <t>dpd30_unrepay_price_b</t>
    <phoneticPr fontId="2" type="noConversion"/>
  </si>
  <si>
    <t>dpd60_unrepay_price_b</t>
    <phoneticPr fontId="2" type="noConversion"/>
  </si>
  <si>
    <t>dpd90_unrepay_price_b</t>
    <phoneticPr fontId="2" type="noConversion"/>
  </si>
  <si>
    <t>decimal(38,10)</t>
    <phoneticPr fontId="2" type="noConversion"/>
  </si>
  <si>
    <t>decimal(38,10)</t>
    <phoneticPr fontId="2" type="noConversion"/>
  </si>
  <si>
    <t>新客</t>
    <phoneticPr fontId="2" type="noConversion"/>
  </si>
  <si>
    <t>老客</t>
    <phoneticPr fontId="2" type="noConversion"/>
  </si>
  <si>
    <t>000000</t>
    <phoneticPr fontId="2" type="noConversion"/>
  </si>
  <si>
    <t>其他</t>
    <phoneticPr fontId="2" type="noConversion"/>
  </si>
  <si>
    <t>0000</t>
    <phoneticPr fontId="2" type="noConversion"/>
  </si>
  <si>
    <t>00</t>
    <phoneticPr fontId="2" type="noConversion"/>
  </si>
  <si>
    <t>其他</t>
    <phoneticPr fontId="2" type="noConversion"/>
  </si>
  <si>
    <t>0</t>
    <phoneticPr fontId="2" type="noConversion"/>
  </si>
  <si>
    <t>白领包</t>
    <phoneticPr fontId="2" type="noConversion"/>
  </si>
  <si>
    <t>社保贷</t>
    <phoneticPr fontId="2" type="noConversion"/>
  </si>
  <si>
    <t>month_short_desc</t>
    <phoneticPr fontId="2" type="noConversion"/>
  </si>
  <si>
    <t>month_long_desc</t>
    <phoneticPr fontId="2" type="noConversion"/>
  </si>
  <si>
    <t>quarter_short_desc</t>
    <phoneticPr fontId="2" type="noConversion"/>
  </si>
  <si>
    <t>quarter_long_desc</t>
    <phoneticPr fontId="2" type="noConversion"/>
  </si>
  <si>
    <t>year_long_desc</t>
    <phoneticPr fontId="2" type="noConversion"/>
  </si>
  <si>
    <t>day_short_desc</t>
    <phoneticPr fontId="2" type="noConversion"/>
  </si>
  <si>
    <t>day_long_desc</t>
    <phoneticPr fontId="2" type="noConversion"/>
  </si>
  <si>
    <t>gender_type</t>
    <phoneticPr fontId="2" type="noConversion"/>
  </si>
  <si>
    <t>男</t>
    <phoneticPr fontId="2" type="noConversion"/>
  </si>
  <si>
    <t>女</t>
    <phoneticPr fontId="2" type="noConversion"/>
  </si>
  <si>
    <t>缺失</t>
    <phoneticPr fontId="2" type="noConversion"/>
  </si>
  <si>
    <t>age_type_desc</t>
    <phoneticPr fontId="2" type="noConversion"/>
  </si>
  <si>
    <t>缺失</t>
    <phoneticPr fontId="2" type="noConversion"/>
  </si>
  <si>
    <t>gender_type_desc</t>
    <phoneticPr fontId="2" type="noConversion"/>
  </si>
  <si>
    <t>education_type</t>
    <phoneticPr fontId="2" type="noConversion"/>
  </si>
  <si>
    <t>education_type_desc</t>
    <phoneticPr fontId="2" type="noConversion"/>
  </si>
  <si>
    <t>博士</t>
    <phoneticPr fontId="2" type="noConversion"/>
  </si>
  <si>
    <t>硕士</t>
    <phoneticPr fontId="2" type="noConversion"/>
  </si>
  <si>
    <t>本科</t>
    <phoneticPr fontId="2" type="noConversion"/>
  </si>
  <si>
    <t>专科</t>
    <phoneticPr fontId="2" type="noConversion"/>
  </si>
  <si>
    <t>专科以下</t>
    <phoneticPr fontId="2" type="noConversion"/>
  </si>
  <si>
    <t>其他</t>
    <phoneticPr fontId="2" type="noConversion"/>
  </si>
  <si>
    <t>school_type</t>
    <phoneticPr fontId="2" type="noConversion"/>
  </si>
  <si>
    <t>school_type_desc</t>
    <phoneticPr fontId="2" type="noConversion"/>
  </si>
  <si>
    <t>1本</t>
    <phoneticPr fontId="2" type="noConversion"/>
  </si>
  <si>
    <t>2本</t>
    <phoneticPr fontId="2" type="noConversion"/>
  </si>
  <si>
    <t>3本</t>
    <phoneticPr fontId="2" type="noConversion"/>
  </si>
  <si>
    <t>loan_amt_type</t>
    <phoneticPr fontId="2" type="noConversion"/>
  </si>
  <si>
    <t>(30K, 40K]</t>
    <phoneticPr fontId="2" type="noConversion"/>
  </si>
  <si>
    <t>(40K, 50K]</t>
    <phoneticPr fontId="2" type="noConversion"/>
  </si>
  <si>
    <t>(50K, 60K]</t>
    <phoneticPr fontId="2" type="noConversion"/>
  </si>
  <si>
    <t>天津市</t>
  </si>
  <si>
    <t>辽宁省</t>
  </si>
  <si>
    <t>陕西省</t>
  </si>
  <si>
    <t>湖南省</t>
  </si>
  <si>
    <t>山东省</t>
  </si>
  <si>
    <t>安徽省</t>
  </si>
  <si>
    <t>河南省</t>
  </si>
  <si>
    <t>四川省</t>
  </si>
  <si>
    <t>北京市</t>
  </si>
  <si>
    <t>新疆维吾尔自治区</t>
  </si>
  <si>
    <t>云南省</t>
  </si>
  <si>
    <t>吉林省</t>
  </si>
  <si>
    <t>甘肃省</t>
  </si>
  <si>
    <t>青海省</t>
  </si>
  <si>
    <t>广西壮族自治区</t>
  </si>
  <si>
    <t>浙江省</t>
  </si>
  <si>
    <t>宁夏回族自治区</t>
  </si>
  <si>
    <t>上海市</t>
  </si>
  <si>
    <t>内蒙古自治区</t>
  </si>
  <si>
    <t>山西省</t>
  </si>
  <si>
    <t>湖北省</t>
  </si>
  <si>
    <t>黑龙江省</t>
  </si>
  <si>
    <t>西藏自治区</t>
  </si>
  <si>
    <t>河北省</t>
  </si>
  <si>
    <t>江西省</t>
  </si>
  <si>
    <t>贵州省</t>
  </si>
  <si>
    <t>海南省</t>
  </si>
  <si>
    <t>广东省</t>
  </si>
  <si>
    <t>福建省</t>
  </si>
  <si>
    <t>重庆市</t>
  </si>
  <si>
    <t>江苏省</t>
  </si>
  <si>
    <t>province_cd</t>
    <phoneticPr fontId="2" type="noConversion"/>
  </si>
  <si>
    <t>region_cd</t>
    <phoneticPr fontId="2" type="noConversion"/>
  </si>
  <si>
    <t>华北</t>
    <phoneticPr fontId="2" type="noConversion"/>
  </si>
  <si>
    <t>东北</t>
    <phoneticPr fontId="2" type="noConversion"/>
  </si>
  <si>
    <t>华东</t>
    <phoneticPr fontId="2" type="noConversion"/>
  </si>
  <si>
    <t>华南</t>
    <phoneticPr fontId="2" type="noConversion"/>
  </si>
  <si>
    <t>华中</t>
    <phoneticPr fontId="2" type="noConversion"/>
  </si>
  <si>
    <t>西南</t>
    <phoneticPr fontId="2" type="noConversion"/>
  </si>
  <si>
    <t>西北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</si>
  <si>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</si>
  <si>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</si>
  <si>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</si>
  <si>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</si>
  <si>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</si>
  <si>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</si>
  <si>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</si>
  <si>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T</t>
    <phoneticPr fontId="2" type="noConversion"/>
  </si>
  <si>
    <t>T等级</t>
    <phoneticPr fontId="2" type="noConversion"/>
  </si>
  <si>
    <t>age_type</t>
    <phoneticPr fontId="2" type="noConversion"/>
  </si>
  <si>
    <t>loan_amt_type_desc</t>
    <phoneticPr fontId="2" type="noConversion"/>
  </si>
  <si>
    <t>province_name</t>
    <phoneticPr fontId="2" type="noConversion"/>
  </si>
  <si>
    <t>region_name</t>
    <phoneticPr fontId="2" type="noConversion"/>
  </si>
  <si>
    <t>00</t>
    <phoneticPr fontId="2" type="noConversion"/>
  </si>
  <si>
    <t>其他</t>
    <phoneticPr fontId="2" type="noConversion"/>
  </si>
  <si>
    <t>td_score_type</t>
    <phoneticPr fontId="2" type="noConversion"/>
  </si>
  <si>
    <t>td_score_type_desc</t>
    <phoneticPr fontId="2" type="noConversion"/>
  </si>
  <si>
    <t>[31, 40]</t>
    <phoneticPr fontId="2" type="noConversion"/>
  </si>
  <si>
    <t>[41, 50]</t>
    <phoneticPr fontId="2" type="noConversion"/>
  </si>
  <si>
    <t>[51, 60]</t>
    <phoneticPr fontId="2" type="noConversion"/>
  </si>
  <si>
    <t>[61, 70]</t>
    <phoneticPr fontId="2" type="noConversion"/>
  </si>
  <si>
    <t>[71, 80]</t>
    <phoneticPr fontId="2" type="noConversion"/>
  </si>
  <si>
    <t>[81, 90]</t>
    <phoneticPr fontId="2" type="noConversion"/>
  </si>
  <si>
    <t>td_platform_type</t>
    <phoneticPr fontId="2" type="noConversion"/>
  </si>
  <si>
    <t>td_platform_type_desc</t>
    <phoneticPr fontId="2" type="noConversion"/>
  </si>
  <si>
    <t>gender_type</t>
  </si>
  <si>
    <t>age_type</t>
  </si>
  <si>
    <t>education_type</t>
  </si>
  <si>
    <t>school_type</t>
  </si>
  <si>
    <t>loan_amt_type</t>
  </si>
  <si>
    <t>province_cd</t>
  </si>
  <si>
    <t>td_score_type</t>
  </si>
  <si>
    <t>td_platform_7d_type</t>
  </si>
  <si>
    <t>td_platform_1m_type</t>
  </si>
  <si>
    <t>td_platform_3m_type</t>
  </si>
  <si>
    <t>td_platform_6m_type</t>
  </si>
  <si>
    <t>int</t>
    <phoneticPr fontId="2" type="noConversion"/>
  </si>
  <si>
    <t>string</t>
    <phoneticPr fontId="2" type="noConversion"/>
  </si>
  <si>
    <t>性别</t>
  </si>
  <si>
    <t>年龄</t>
  </si>
  <si>
    <t>学历</t>
  </si>
  <si>
    <t>学校类型</t>
  </si>
  <si>
    <t>放款金额分类</t>
  </si>
  <si>
    <t>省份编码</t>
  </si>
  <si>
    <t>同盾分</t>
  </si>
  <si>
    <t>同盾7天多头</t>
  </si>
  <si>
    <t>同盾1个月多头</t>
  </si>
  <si>
    <t>同盾3个月多头</t>
  </si>
  <si>
    <t>同盾6个月多头</t>
  </si>
  <si>
    <t>[0, 25]</t>
    <phoneticPr fontId="2" type="noConversion"/>
  </si>
  <si>
    <t>[26, 30]</t>
    <phoneticPr fontId="2" type="noConversion"/>
  </si>
  <si>
    <t>[31, 35]</t>
    <phoneticPr fontId="2" type="noConversion"/>
  </si>
  <si>
    <t>[36, +)</t>
    <phoneticPr fontId="2" type="noConversion"/>
  </si>
  <si>
    <t>[0, 1K]</t>
    <phoneticPr fontId="2" type="noConversion"/>
  </si>
  <si>
    <t>(1K, 2K]</t>
    <phoneticPr fontId="2" type="noConversion"/>
  </si>
  <si>
    <t>(2K, 3K]</t>
    <phoneticPr fontId="2" type="noConversion"/>
  </si>
  <si>
    <t>(3K, 4K]</t>
    <phoneticPr fontId="2" type="noConversion"/>
  </si>
  <si>
    <t>(4K, 5K]</t>
    <phoneticPr fontId="2" type="noConversion"/>
  </si>
  <si>
    <t>(5K, 10K]</t>
    <phoneticPr fontId="2" type="noConversion"/>
  </si>
  <si>
    <t>(10K, 20K]</t>
    <phoneticPr fontId="2" type="noConversion"/>
  </si>
  <si>
    <t>(20K, 30K]</t>
    <phoneticPr fontId="2" type="noConversion"/>
  </si>
  <si>
    <t>[0, 10]</t>
    <phoneticPr fontId="2" type="noConversion"/>
  </si>
  <si>
    <t>[11, 20]</t>
    <phoneticPr fontId="2" type="noConversion"/>
  </si>
  <si>
    <t>[21, 30]</t>
    <phoneticPr fontId="2" type="noConversion"/>
  </si>
  <si>
    <t>[91, 100]</t>
    <phoneticPr fontId="2" type="noConversion"/>
  </si>
  <si>
    <t>(60K, +)</t>
    <phoneticPr fontId="2" type="noConversion"/>
  </si>
  <si>
    <t>[1, 5]</t>
    <phoneticPr fontId="2" type="noConversion"/>
  </si>
  <si>
    <t>[6, 10]</t>
    <phoneticPr fontId="2" type="noConversion"/>
  </si>
  <si>
    <t>[11, 20]</t>
    <phoneticPr fontId="2" type="noConversion"/>
  </si>
  <si>
    <t>[26, 30]</t>
    <phoneticPr fontId="2" type="noConversion"/>
  </si>
  <si>
    <t>[31, +)</t>
    <phoneticPr fontId="2" type="noConversion"/>
  </si>
  <si>
    <t>麦子金卡</t>
    <phoneticPr fontId="2" type="noConversion"/>
  </si>
  <si>
    <t>金卡-信用贷</t>
    <phoneticPr fontId="2" type="noConversion"/>
  </si>
  <si>
    <t>金卡-麦子借款</t>
    <phoneticPr fontId="2" type="noConversion"/>
  </si>
  <si>
    <t>0104</t>
    <phoneticPr fontId="2" type="noConversion"/>
  </si>
  <si>
    <t>010401</t>
    <phoneticPr fontId="2" type="noConversion"/>
  </si>
  <si>
    <t>010402</t>
    <phoneticPr fontId="2" type="noConversion"/>
  </si>
  <si>
    <t>bo_finish_date</t>
    <phoneticPr fontId="2" type="noConversion"/>
  </si>
  <si>
    <t>麦子借款</t>
    <phoneticPr fontId="2" type="noConversion"/>
  </si>
  <si>
    <t>白领贷</t>
    <phoneticPr fontId="2" type="noConversion"/>
  </si>
  <si>
    <t>麦芽分期</t>
    <phoneticPr fontId="2" type="noConversion"/>
  </si>
  <si>
    <t>爱美呗分期</t>
    <phoneticPr fontId="2" type="noConversion"/>
  </si>
  <si>
    <t>信用贷</t>
    <phoneticPr fontId="2" type="noConversion"/>
  </si>
  <si>
    <t>010501</t>
    <phoneticPr fontId="2" type="noConversion"/>
  </si>
  <si>
    <t>010502</t>
    <phoneticPr fontId="2" type="noConversion"/>
  </si>
  <si>
    <t>0105</t>
    <phoneticPr fontId="2" type="noConversion"/>
  </si>
  <si>
    <t>极速金卡-信用贷</t>
    <phoneticPr fontId="2" type="noConversion"/>
  </si>
  <si>
    <t>极速金卡-麦子借款</t>
    <phoneticPr fontId="2" type="noConversion"/>
  </si>
  <si>
    <t>极速金卡</t>
    <phoneticPr fontId="2" type="noConversion"/>
  </si>
  <si>
    <t>graduate_type_desc</t>
    <phoneticPr fontId="2" type="noConversion"/>
  </si>
  <si>
    <t>未毕业</t>
    <phoneticPr fontId="2" type="noConversion"/>
  </si>
  <si>
    <t>已毕业</t>
    <phoneticPr fontId="2" type="noConversion"/>
  </si>
  <si>
    <t>amc_type</t>
  </si>
  <si>
    <t>amc_type_desc</t>
  </si>
  <si>
    <t>非AMC</t>
    <phoneticPr fontId="2" type="noConversion"/>
  </si>
  <si>
    <t>第1秕AMC</t>
    <phoneticPr fontId="2" type="noConversion"/>
  </si>
  <si>
    <t>第2批AMC</t>
    <phoneticPr fontId="2" type="noConversion"/>
  </si>
  <si>
    <t>overdue_m3p_type_desc</t>
  </si>
  <si>
    <t>否</t>
    <phoneticPr fontId="2" type="noConversion"/>
  </si>
  <si>
    <t>是</t>
    <phoneticPr fontId="2" type="noConversion"/>
  </si>
  <si>
    <t>overdue_m3p_type</t>
    <phoneticPr fontId="2" type="noConversion"/>
  </si>
  <si>
    <t>overdue_m6p_type</t>
  </si>
  <si>
    <t>overdue_m6p_type_desc</t>
  </si>
  <si>
    <t>graduate_type</t>
    <phoneticPr fontId="2" type="noConversion"/>
  </si>
  <si>
    <t>第3批AMC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</si>
</sst>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0"/>
      <color rgb="FF42424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/>
    </xf>
    <xf numFmtId="49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0" fillId="2" borderId="1" xfId="0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>
      <alignment vertical="center"/>
    </xf>
    <xf numFmtId="49" fontId="0" fillId="0" borderId="2" xfId="0" applyNumberFormat="1" applyFill="1" applyBorder="1">
      <alignment vertical="center"/>
    </xf>
    <xf numFmtId="0" fontId="3" fillId="0" borderId="0" xfId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E7" sqref="E7"/>
    </sheetView>
  </sheetViews>
  <sheetFormatPr defaultRowHeight="16.5" x14ac:dyDescent="0.35"/>
  <cols>
    <col min="1" max="1" width="22.25" bestFit="1" customWidth="1"/>
    <col min="2" max="2" width="13" bestFit="1" customWidth="1"/>
    <col min="3" max="3" width="19.75" bestFit="1" customWidth="1"/>
    <col min="5" max="5" width="15.875" customWidth="1"/>
    <col min="6" max="6" width="11.375" bestFit="1" customWidth="1"/>
    <col min="7" max="7" width="35.75" customWidth="1"/>
  </cols>
  <sheetData>
    <row r="1" spans="1:4" x14ac:dyDescent="0.35">
      <c r="A1" t="s">
        <v>76</v>
      </c>
      <c r="B1" t="s">
        <v>78</v>
      </c>
      <c r="C1" t="s">
        <v>79</v>
      </c>
    </row>
    <row r="2" spans="1:4" x14ac:dyDescent="0.35">
      <c r="A2" t="s">
        <v>77</v>
      </c>
      <c r="B2" t="s">
        <v>78</v>
      </c>
      <c r="C2" t="s">
        <v>80</v>
      </c>
    </row>
    <row r="3" spans="1:4" x14ac:dyDescent="0.35">
      <c r="A3" t="s">
        <v>484</v>
      </c>
      <c r="B3" t="s">
        <v>81</v>
      </c>
      <c r="C3" t="s">
        <v>101</v>
      </c>
    </row>
    <row r="4" spans="1:4" x14ac:dyDescent="0.35">
      <c r="A4" t="s">
        <v>82</v>
      </c>
      <c r="B4" t="s">
        <v>324</v>
      </c>
      <c r="C4" t="s">
        <v>0</v>
      </c>
    </row>
    <row r="5" spans="1:4" x14ac:dyDescent="0.35">
      <c r="A5" s="22" t="s">
        <v>226</v>
      </c>
      <c r="B5" t="s">
        <v>75</v>
      </c>
      <c r="C5" t="s">
        <v>95</v>
      </c>
      <c r="D5" t="s">
        <v>94</v>
      </c>
    </row>
    <row r="6" spans="1:4" x14ac:dyDescent="0.35">
      <c r="A6" s="22" t="s">
        <v>227</v>
      </c>
      <c r="B6" t="s">
        <v>75</v>
      </c>
      <c r="C6" t="s">
        <v>96</v>
      </c>
      <c r="D6" t="s">
        <v>94</v>
      </c>
    </row>
    <row r="7" spans="1:4" x14ac:dyDescent="0.35">
      <c r="A7" s="22" t="s">
        <v>83</v>
      </c>
      <c r="B7" t="s">
        <v>75</v>
      </c>
      <c r="C7" t="s">
        <v>97</v>
      </c>
      <c r="D7" t="s">
        <v>94</v>
      </c>
    </row>
    <row r="8" spans="1:4" x14ac:dyDescent="0.35">
      <c r="A8" s="22" t="s">
        <v>225</v>
      </c>
      <c r="B8" t="s">
        <v>75</v>
      </c>
      <c r="C8" t="s">
        <v>98</v>
      </c>
      <c r="D8" t="s">
        <v>94</v>
      </c>
    </row>
    <row r="9" spans="1:4" x14ac:dyDescent="0.35">
      <c r="A9" t="s">
        <v>85</v>
      </c>
      <c r="B9" t="s">
        <v>86</v>
      </c>
      <c r="C9" t="s">
        <v>99</v>
      </c>
      <c r="D9" t="s">
        <v>94</v>
      </c>
    </row>
    <row r="10" spans="1:4" x14ac:dyDescent="0.35">
      <c r="A10" s="22" t="s">
        <v>228</v>
      </c>
      <c r="B10" t="s">
        <v>75</v>
      </c>
      <c r="C10" t="s">
        <v>100</v>
      </c>
      <c r="D10" t="s">
        <v>94</v>
      </c>
    </row>
    <row r="11" spans="1:4" x14ac:dyDescent="0.35">
      <c r="A11" s="22" t="s">
        <v>432</v>
      </c>
      <c r="B11" t="s">
        <v>443</v>
      </c>
      <c r="C11" t="s">
        <v>445</v>
      </c>
      <c r="D11" t="s">
        <v>94</v>
      </c>
    </row>
    <row r="12" spans="1:4" x14ac:dyDescent="0.35">
      <c r="A12" s="22" t="s">
        <v>433</v>
      </c>
      <c r="B12" t="s">
        <v>443</v>
      </c>
      <c r="C12" t="s">
        <v>446</v>
      </c>
      <c r="D12" t="s">
        <v>94</v>
      </c>
    </row>
    <row r="13" spans="1:4" x14ac:dyDescent="0.35">
      <c r="A13" s="22" t="s">
        <v>434</v>
      </c>
      <c r="B13" t="s">
        <v>443</v>
      </c>
      <c r="C13" t="s">
        <v>447</v>
      </c>
      <c r="D13" t="s">
        <v>94</v>
      </c>
    </row>
    <row r="14" spans="1:4" x14ac:dyDescent="0.35">
      <c r="A14" s="22" t="s">
        <v>435</v>
      </c>
      <c r="B14" t="s">
        <v>443</v>
      </c>
      <c r="C14" t="s">
        <v>448</v>
      </c>
      <c r="D14" t="s">
        <v>94</v>
      </c>
    </row>
    <row r="15" spans="1:4" x14ac:dyDescent="0.35">
      <c r="A15" s="22" t="s">
        <v>436</v>
      </c>
      <c r="B15" t="s">
        <v>443</v>
      </c>
      <c r="C15" t="s">
        <v>449</v>
      </c>
      <c r="D15" t="s">
        <v>94</v>
      </c>
    </row>
    <row r="16" spans="1:4" x14ac:dyDescent="0.35">
      <c r="A16" s="22" t="s">
        <v>437</v>
      </c>
      <c r="B16" t="s">
        <v>444</v>
      </c>
      <c r="C16" t="s">
        <v>450</v>
      </c>
      <c r="D16" t="s">
        <v>94</v>
      </c>
    </row>
    <row r="17" spans="1:4" x14ac:dyDescent="0.35">
      <c r="A17" s="22" t="s">
        <v>438</v>
      </c>
      <c r="B17" t="s">
        <v>443</v>
      </c>
      <c r="C17" t="s">
        <v>451</v>
      </c>
      <c r="D17" t="s">
        <v>94</v>
      </c>
    </row>
    <row r="18" spans="1:4" x14ac:dyDescent="0.35">
      <c r="A18" s="22" t="s">
        <v>439</v>
      </c>
      <c r="B18" t="s">
        <v>443</v>
      </c>
      <c r="C18" t="s">
        <v>452</v>
      </c>
      <c r="D18" t="s">
        <v>94</v>
      </c>
    </row>
    <row r="19" spans="1:4" x14ac:dyDescent="0.35">
      <c r="A19" s="22" t="s">
        <v>440</v>
      </c>
      <c r="B19" t="s">
        <v>443</v>
      </c>
      <c r="C19" t="s">
        <v>453</v>
      </c>
      <c r="D19" t="s">
        <v>94</v>
      </c>
    </row>
    <row r="20" spans="1:4" x14ac:dyDescent="0.35">
      <c r="A20" s="22" t="s">
        <v>441</v>
      </c>
      <c r="B20" t="s">
        <v>443</v>
      </c>
      <c r="C20" t="s">
        <v>454</v>
      </c>
      <c r="D20" t="s">
        <v>94</v>
      </c>
    </row>
    <row r="21" spans="1:4" x14ac:dyDescent="0.35">
      <c r="A21" s="22" t="s">
        <v>442</v>
      </c>
      <c r="B21" t="s">
        <v>443</v>
      </c>
      <c r="C21" t="s">
        <v>455</v>
      </c>
      <c r="D21" t="s">
        <v>94</v>
      </c>
    </row>
    <row r="22" spans="1:4" x14ac:dyDescent="0.35">
      <c r="A22" t="s">
        <v>319</v>
      </c>
      <c r="B22" t="s">
        <v>325</v>
      </c>
      <c r="C22" t="s">
        <v>89</v>
      </c>
    </row>
    <row r="23" spans="1:4" x14ac:dyDescent="0.35">
      <c r="A23" t="s">
        <v>320</v>
      </c>
      <c r="B23" t="s">
        <v>325</v>
      </c>
      <c r="C23" t="s">
        <v>90</v>
      </c>
    </row>
    <row r="24" spans="1:4" x14ac:dyDescent="0.35">
      <c r="A24" t="s">
        <v>321</v>
      </c>
      <c r="B24" t="s">
        <v>325</v>
      </c>
      <c r="C24" t="s">
        <v>91</v>
      </c>
    </row>
    <row r="25" spans="1:4" x14ac:dyDescent="0.35">
      <c r="A25" t="s">
        <v>322</v>
      </c>
      <c r="B25" t="s">
        <v>325</v>
      </c>
      <c r="C25" t="s">
        <v>92</v>
      </c>
    </row>
    <row r="26" spans="1:4" x14ac:dyDescent="0.35">
      <c r="A26" t="s">
        <v>323</v>
      </c>
      <c r="B26" t="s">
        <v>325</v>
      </c>
      <c r="C26" t="s">
        <v>93</v>
      </c>
    </row>
    <row r="27" spans="1:4" x14ac:dyDescent="0.35">
      <c r="A27" t="s">
        <v>87</v>
      </c>
      <c r="B27" t="s">
        <v>75</v>
      </c>
      <c r="C27" t="s">
        <v>88</v>
      </c>
    </row>
  </sheetData>
  <phoneticPr fontId="2" type="noConversion"/>
  <hyperlinks>
    <hyperlink ref="A5" location="dim_user_cat!A1" display="user_type"/>
    <hyperlink ref="A6" location="dim_level_cat!A1" display="level_type"/>
    <hyperlink ref="A7" location="dim_mob!A1" display="mob"/>
    <hyperlink ref="A8" location="dim_expect_cat!A1" display="expect_type"/>
    <hyperlink ref="A10" location="dim_product_cat!A1" display="product_c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1" sqref="D11"/>
    </sheetView>
  </sheetViews>
  <sheetFormatPr defaultRowHeight="16.5" x14ac:dyDescent="0.35"/>
  <cols>
    <col min="1" max="1" width="11.625" bestFit="1" customWidth="1"/>
    <col min="2" max="2" width="13.5" bestFit="1" customWidth="1"/>
    <col min="4" max="4" width="44.25" bestFit="1" customWidth="1"/>
  </cols>
  <sheetData>
    <row r="1" spans="1:4" x14ac:dyDescent="0.35">
      <c r="A1" t="s">
        <v>229</v>
      </c>
      <c r="B1" t="s">
        <v>230</v>
      </c>
    </row>
    <row r="2" spans="1:4" x14ac:dyDescent="0.35">
      <c r="A2" s="10">
        <v>0</v>
      </c>
      <c r="B2" t="s">
        <v>326</v>
      </c>
      <c r="D2" t="str">
        <f>"insert into dw_srm.dim_user_cat values ('"&amp;A2&amp;"','"&amp;B2&amp;"');"</f>
        <v>insert into dw_srm.dim_user_cat values ('0','新客');</v>
      </c>
    </row>
    <row r="3" spans="1:4" x14ac:dyDescent="0.35">
      <c r="A3" s="10">
        <v>1</v>
      </c>
      <c r="B3" t="s">
        <v>327</v>
      </c>
      <c r="D3" t="str">
        <f>"insert into dw_srm.dim_user_cat values ('"&amp;A3&amp;"','"&amp;B3&amp;"');"</f>
        <v>insert into dw_srm.dim_user_cat values ('1','老客');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5" sqref="D15"/>
    </sheetView>
  </sheetViews>
  <sheetFormatPr defaultRowHeight="16.5" x14ac:dyDescent="0.35"/>
  <cols>
    <col min="1" max="1" width="11.75" bestFit="1" customWidth="1"/>
    <col min="2" max="2" width="14.375" bestFit="1" customWidth="1"/>
    <col min="4" max="4" width="47.375" customWidth="1"/>
  </cols>
  <sheetData>
    <row r="1" spans="1:4" x14ac:dyDescent="0.35">
      <c r="A1" t="s">
        <v>231</v>
      </c>
      <c r="B1" t="s">
        <v>232</v>
      </c>
    </row>
    <row r="2" spans="1:4" x14ac:dyDescent="0.35">
      <c r="A2" t="s">
        <v>240</v>
      </c>
      <c r="B2" t="s">
        <v>247</v>
      </c>
      <c r="D2" t="str">
        <f>"insert into dw_srm.dim_level_cat values ('"&amp;A2&amp;"','"&amp;B2&amp;"');"</f>
        <v>insert into dw_srm.dim_level_cat values ('A','A等级');</v>
      </c>
    </row>
    <row r="3" spans="1:4" x14ac:dyDescent="0.35">
      <c r="A3" t="s">
        <v>241</v>
      </c>
      <c r="B3" t="s">
        <v>248</v>
      </c>
      <c r="D3" t="str">
        <f t="shared" ref="D3:D9" si="0">"insert into dw_srm.dim_level_cat values ('"&amp;A3&amp;"','"&amp;B3&amp;"');"</f>
        <v>insert into dw_srm.dim_level_cat values ('B','B等级');</v>
      </c>
    </row>
    <row r="4" spans="1:4" x14ac:dyDescent="0.35">
      <c r="A4" t="s">
        <v>242</v>
      </c>
      <c r="B4" t="s">
        <v>249</v>
      </c>
      <c r="D4" t="str">
        <f t="shared" si="0"/>
        <v>insert into dw_srm.dim_level_cat values ('C','C等级');</v>
      </c>
    </row>
    <row r="5" spans="1:4" x14ac:dyDescent="0.35">
      <c r="A5" t="s">
        <v>243</v>
      </c>
      <c r="B5" t="s">
        <v>250</v>
      </c>
      <c r="D5" t="str">
        <f t="shared" si="0"/>
        <v>insert into dw_srm.dim_level_cat values ('D','D等级');</v>
      </c>
    </row>
    <row r="6" spans="1:4" x14ac:dyDescent="0.35">
      <c r="A6" t="s">
        <v>244</v>
      </c>
      <c r="B6" t="s">
        <v>251</v>
      </c>
      <c r="D6" t="str">
        <f t="shared" si="0"/>
        <v>insert into dw_srm.dim_level_cat values ('E','E等级');</v>
      </c>
    </row>
    <row r="7" spans="1:4" x14ac:dyDescent="0.35">
      <c r="A7" t="s">
        <v>245</v>
      </c>
      <c r="B7" t="s">
        <v>252</v>
      </c>
      <c r="D7" t="str">
        <f t="shared" si="0"/>
        <v>insert into dw_srm.dim_level_cat values ('F','F等级');</v>
      </c>
    </row>
    <row r="8" spans="1:4" x14ac:dyDescent="0.35">
      <c r="A8" t="s">
        <v>414</v>
      </c>
      <c r="B8" t="s">
        <v>415</v>
      </c>
      <c r="D8" t="str">
        <f t="shared" si="0"/>
        <v>insert into dw_srm.dim_level_cat values ('T','T等级');</v>
      </c>
    </row>
    <row r="9" spans="1:4" x14ac:dyDescent="0.35">
      <c r="A9" t="s">
        <v>246</v>
      </c>
      <c r="B9" t="s">
        <v>253</v>
      </c>
      <c r="D9" t="str">
        <f t="shared" si="0"/>
        <v>insert into dw_srm.dim_level_cat values ('其他','其他等级');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>
      <selection activeCell="A119" sqref="A119"/>
    </sheetView>
  </sheetViews>
  <sheetFormatPr defaultRowHeight="16.5" x14ac:dyDescent="0.35"/>
  <cols>
    <col min="1" max="1" width="8.125" customWidth="1"/>
    <col min="2" max="2" width="15.75" customWidth="1"/>
    <col min="4" max="4" width="44" bestFit="1" customWidth="1"/>
  </cols>
  <sheetData>
    <row r="1" spans="1:4" x14ac:dyDescent="0.35">
      <c r="A1" t="s">
        <v>102</v>
      </c>
      <c r="B1" t="s">
        <v>103</v>
      </c>
    </row>
    <row r="2" spans="1:4" x14ac:dyDescent="0.35">
      <c r="A2" s="10">
        <v>0</v>
      </c>
      <c r="B2" t="s">
        <v>224</v>
      </c>
      <c r="D2" t="str">
        <f>"insert into dw_srm.dim_mob values ("&amp;A2&amp;",'"&amp;B2&amp;"');"</f>
        <v>insert into dw_srm.dim_mob values (0,'mob0');</v>
      </c>
    </row>
    <row r="3" spans="1:4" x14ac:dyDescent="0.35">
      <c r="A3" s="10">
        <v>1</v>
      </c>
      <c r="B3" t="s">
        <v>104</v>
      </c>
      <c r="D3" t="str">
        <f t="shared" ref="D3:D66" si="0">"insert into dw_srm.dim_mob values ("&amp;A3&amp;",'"&amp;B3&amp;"');"</f>
        <v>insert into dw_srm.dim_mob values (1,'mob1');</v>
      </c>
    </row>
    <row r="4" spans="1:4" x14ac:dyDescent="0.35">
      <c r="A4" s="10">
        <v>2</v>
      </c>
      <c r="B4" t="s">
        <v>105</v>
      </c>
      <c r="D4" t="str">
        <f t="shared" si="0"/>
        <v>insert into dw_srm.dim_mob values (2,'mob2');</v>
      </c>
    </row>
    <row r="5" spans="1:4" x14ac:dyDescent="0.35">
      <c r="A5" s="10">
        <v>3</v>
      </c>
      <c r="B5" t="s">
        <v>106</v>
      </c>
      <c r="D5" t="str">
        <f t="shared" si="0"/>
        <v>insert into dw_srm.dim_mob values (3,'mob3');</v>
      </c>
    </row>
    <row r="6" spans="1:4" x14ac:dyDescent="0.35">
      <c r="A6" s="10">
        <v>4</v>
      </c>
      <c r="B6" t="s">
        <v>107</v>
      </c>
      <c r="D6" t="str">
        <f t="shared" si="0"/>
        <v>insert into dw_srm.dim_mob values (4,'mob4');</v>
      </c>
    </row>
    <row r="7" spans="1:4" x14ac:dyDescent="0.35">
      <c r="A7" s="10">
        <v>5</v>
      </c>
      <c r="B7" t="s">
        <v>108</v>
      </c>
      <c r="D7" t="str">
        <f t="shared" si="0"/>
        <v>insert into dw_srm.dim_mob values (5,'mob5');</v>
      </c>
    </row>
    <row r="8" spans="1:4" x14ac:dyDescent="0.35">
      <c r="A8" s="10">
        <v>6</v>
      </c>
      <c r="B8" t="s">
        <v>109</v>
      </c>
      <c r="D8" t="str">
        <f t="shared" si="0"/>
        <v>insert into dw_srm.dim_mob values (6,'mob6');</v>
      </c>
    </row>
    <row r="9" spans="1:4" x14ac:dyDescent="0.35">
      <c r="A9" s="10">
        <v>7</v>
      </c>
      <c r="B9" t="s">
        <v>110</v>
      </c>
      <c r="D9" t="str">
        <f t="shared" si="0"/>
        <v>insert into dw_srm.dim_mob values (7,'mob7');</v>
      </c>
    </row>
    <row r="10" spans="1:4" x14ac:dyDescent="0.35">
      <c r="A10" s="10">
        <v>8</v>
      </c>
      <c r="B10" t="s">
        <v>111</v>
      </c>
      <c r="D10" t="str">
        <f t="shared" si="0"/>
        <v>insert into dw_srm.dim_mob values (8,'mob8');</v>
      </c>
    </row>
    <row r="11" spans="1:4" x14ac:dyDescent="0.35">
      <c r="A11" s="10">
        <v>9</v>
      </c>
      <c r="B11" t="s">
        <v>112</v>
      </c>
      <c r="D11" t="str">
        <f t="shared" si="0"/>
        <v>insert into dw_srm.dim_mob values (9,'mob9');</v>
      </c>
    </row>
    <row r="12" spans="1:4" x14ac:dyDescent="0.35">
      <c r="A12" s="10">
        <v>10</v>
      </c>
      <c r="B12" t="s">
        <v>113</v>
      </c>
      <c r="D12" t="str">
        <f t="shared" si="0"/>
        <v>insert into dw_srm.dim_mob values (10,'mob10');</v>
      </c>
    </row>
    <row r="13" spans="1:4" x14ac:dyDescent="0.35">
      <c r="A13" s="10">
        <v>11</v>
      </c>
      <c r="B13" t="s">
        <v>114</v>
      </c>
      <c r="D13" t="str">
        <f t="shared" si="0"/>
        <v>insert into dw_srm.dim_mob values (11,'mob11');</v>
      </c>
    </row>
    <row r="14" spans="1:4" x14ac:dyDescent="0.35">
      <c r="A14" s="10">
        <v>12</v>
      </c>
      <c r="B14" t="s">
        <v>115</v>
      </c>
      <c r="D14" t="str">
        <f t="shared" si="0"/>
        <v>insert into dw_srm.dim_mob values (12,'mob12');</v>
      </c>
    </row>
    <row r="15" spans="1:4" x14ac:dyDescent="0.35">
      <c r="A15" s="10">
        <v>13</v>
      </c>
      <c r="B15" t="s">
        <v>116</v>
      </c>
      <c r="D15" t="str">
        <f t="shared" si="0"/>
        <v>insert into dw_srm.dim_mob values (13,'mob13');</v>
      </c>
    </row>
    <row r="16" spans="1:4" x14ac:dyDescent="0.35">
      <c r="A16" s="10">
        <v>14</v>
      </c>
      <c r="B16" t="s">
        <v>117</v>
      </c>
      <c r="D16" t="str">
        <f t="shared" si="0"/>
        <v>insert into dw_srm.dim_mob values (14,'mob14');</v>
      </c>
    </row>
    <row r="17" spans="1:4" x14ac:dyDescent="0.35">
      <c r="A17" s="10">
        <v>15</v>
      </c>
      <c r="B17" t="s">
        <v>118</v>
      </c>
      <c r="D17" t="str">
        <f t="shared" si="0"/>
        <v>insert into dw_srm.dim_mob values (15,'mob15');</v>
      </c>
    </row>
    <row r="18" spans="1:4" x14ac:dyDescent="0.35">
      <c r="A18" s="10">
        <v>16</v>
      </c>
      <c r="B18" t="s">
        <v>119</v>
      </c>
      <c r="D18" t="str">
        <f t="shared" si="0"/>
        <v>insert into dw_srm.dim_mob values (16,'mob16');</v>
      </c>
    </row>
    <row r="19" spans="1:4" x14ac:dyDescent="0.35">
      <c r="A19" s="10">
        <v>17</v>
      </c>
      <c r="B19" t="s">
        <v>120</v>
      </c>
      <c r="D19" t="str">
        <f t="shared" si="0"/>
        <v>insert into dw_srm.dim_mob values (17,'mob17');</v>
      </c>
    </row>
    <row r="20" spans="1:4" x14ac:dyDescent="0.35">
      <c r="A20" s="10">
        <v>18</v>
      </c>
      <c r="B20" t="s">
        <v>121</v>
      </c>
      <c r="D20" t="str">
        <f t="shared" si="0"/>
        <v>insert into dw_srm.dim_mob values (18,'mob18');</v>
      </c>
    </row>
    <row r="21" spans="1:4" x14ac:dyDescent="0.35">
      <c r="A21" s="10">
        <v>19</v>
      </c>
      <c r="B21" t="s">
        <v>122</v>
      </c>
      <c r="D21" t="str">
        <f t="shared" si="0"/>
        <v>insert into dw_srm.dim_mob values (19,'mob19');</v>
      </c>
    </row>
    <row r="22" spans="1:4" x14ac:dyDescent="0.35">
      <c r="A22" s="10">
        <v>20</v>
      </c>
      <c r="B22" t="s">
        <v>123</v>
      </c>
      <c r="D22" t="str">
        <f t="shared" si="0"/>
        <v>insert into dw_srm.dim_mob values (20,'mob20');</v>
      </c>
    </row>
    <row r="23" spans="1:4" x14ac:dyDescent="0.35">
      <c r="A23" s="10">
        <v>21</v>
      </c>
      <c r="B23" t="s">
        <v>124</v>
      </c>
      <c r="D23" t="str">
        <f t="shared" si="0"/>
        <v>insert into dw_srm.dim_mob values (21,'mob21');</v>
      </c>
    </row>
    <row r="24" spans="1:4" x14ac:dyDescent="0.35">
      <c r="A24" s="10">
        <v>22</v>
      </c>
      <c r="B24" t="s">
        <v>125</v>
      </c>
      <c r="D24" t="str">
        <f t="shared" si="0"/>
        <v>insert into dw_srm.dim_mob values (22,'mob22');</v>
      </c>
    </row>
    <row r="25" spans="1:4" x14ac:dyDescent="0.35">
      <c r="A25" s="10">
        <v>23</v>
      </c>
      <c r="B25" t="s">
        <v>126</v>
      </c>
      <c r="D25" t="str">
        <f t="shared" si="0"/>
        <v>insert into dw_srm.dim_mob values (23,'mob23');</v>
      </c>
    </row>
    <row r="26" spans="1:4" x14ac:dyDescent="0.35">
      <c r="A26" s="10">
        <v>24</v>
      </c>
      <c r="B26" t="s">
        <v>127</v>
      </c>
      <c r="D26" t="str">
        <f t="shared" si="0"/>
        <v>insert into dw_srm.dim_mob values (24,'mob24');</v>
      </c>
    </row>
    <row r="27" spans="1:4" x14ac:dyDescent="0.35">
      <c r="A27" s="10">
        <v>25</v>
      </c>
      <c r="B27" t="s">
        <v>128</v>
      </c>
      <c r="D27" t="str">
        <f t="shared" si="0"/>
        <v>insert into dw_srm.dim_mob values (25,'mob25');</v>
      </c>
    </row>
    <row r="28" spans="1:4" x14ac:dyDescent="0.35">
      <c r="A28" s="10">
        <v>26</v>
      </c>
      <c r="B28" t="s">
        <v>129</v>
      </c>
      <c r="D28" t="str">
        <f t="shared" si="0"/>
        <v>insert into dw_srm.dim_mob values (26,'mob26');</v>
      </c>
    </row>
    <row r="29" spans="1:4" x14ac:dyDescent="0.35">
      <c r="A29" s="10">
        <v>27</v>
      </c>
      <c r="B29" t="s">
        <v>130</v>
      </c>
      <c r="D29" t="str">
        <f t="shared" si="0"/>
        <v>insert into dw_srm.dim_mob values (27,'mob27');</v>
      </c>
    </row>
    <row r="30" spans="1:4" x14ac:dyDescent="0.35">
      <c r="A30" s="10">
        <v>28</v>
      </c>
      <c r="B30" t="s">
        <v>131</v>
      </c>
      <c r="D30" t="str">
        <f t="shared" si="0"/>
        <v>insert into dw_srm.dim_mob values (28,'mob28');</v>
      </c>
    </row>
    <row r="31" spans="1:4" x14ac:dyDescent="0.35">
      <c r="A31" s="10">
        <v>29</v>
      </c>
      <c r="B31" t="s">
        <v>132</v>
      </c>
      <c r="D31" t="str">
        <f t="shared" si="0"/>
        <v>insert into dw_srm.dim_mob values (29,'mob29');</v>
      </c>
    </row>
    <row r="32" spans="1:4" x14ac:dyDescent="0.35">
      <c r="A32" s="10">
        <v>30</v>
      </c>
      <c r="B32" t="s">
        <v>133</v>
      </c>
      <c r="D32" t="str">
        <f t="shared" si="0"/>
        <v>insert into dw_srm.dim_mob values (30,'mob30');</v>
      </c>
    </row>
    <row r="33" spans="1:4" x14ac:dyDescent="0.35">
      <c r="A33" s="10">
        <v>31</v>
      </c>
      <c r="B33" t="s">
        <v>134</v>
      </c>
      <c r="D33" t="str">
        <f t="shared" si="0"/>
        <v>insert into dw_srm.dim_mob values (31,'mob31');</v>
      </c>
    </row>
    <row r="34" spans="1:4" x14ac:dyDescent="0.35">
      <c r="A34" s="10">
        <v>32</v>
      </c>
      <c r="B34" t="s">
        <v>135</v>
      </c>
      <c r="D34" t="str">
        <f t="shared" si="0"/>
        <v>insert into dw_srm.dim_mob values (32,'mob32');</v>
      </c>
    </row>
    <row r="35" spans="1:4" x14ac:dyDescent="0.35">
      <c r="A35" s="10">
        <v>33</v>
      </c>
      <c r="B35" t="s">
        <v>136</v>
      </c>
      <c r="D35" t="str">
        <f t="shared" si="0"/>
        <v>insert into dw_srm.dim_mob values (33,'mob33');</v>
      </c>
    </row>
    <row r="36" spans="1:4" x14ac:dyDescent="0.35">
      <c r="A36" s="10">
        <v>34</v>
      </c>
      <c r="B36" t="s">
        <v>137</v>
      </c>
      <c r="D36" t="str">
        <f t="shared" si="0"/>
        <v>insert into dw_srm.dim_mob values (34,'mob34');</v>
      </c>
    </row>
    <row r="37" spans="1:4" x14ac:dyDescent="0.35">
      <c r="A37" s="10">
        <v>35</v>
      </c>
      <c r="B37" t="s">
        <v>138</v>
      </c>
      <c r="D37" t="str">
        <f t="shared" si="0"/>
        <v>insert into dw_srm.dim_mob values (35,'mob35');</v>
      </c>
    </row>
    <row r="38" spans="1:4" x14ac:dyDescent="0.35">
      <c r="A38" s="10">
        <v>36</v>
      </c>
      <c r="B38" t="s">
        <v>139</v>
      </c>
      <c r="D38" t="str">
        <f t="shared" si="0"/>
        <v>insert into dw_srm.dim_mob values (36,'mob36');</v>
      </c>
    </row>
    <row r="39" spans="1:4" x14ac:dyDescent="0.35">
      <c r="A39" s="10">
        <v>37</v>
      </c>
      <c r="B39" t="s">
        <v>140</v>
      </c>
      <c r="D39" t="str">
        <f t="shared" si="0"/>
        <v>insert into dw_srm.dim_mob values (37,'mob37');</v>
      </c>
    </row>
    <row r="40" spans="1:4" x14ac:dyDescent="0.35">
      <c r="A40" s="10">
        <v>38</v>
      </c>
      <c r="B40" t="s">
        <v>141</v>
      </c>
      <c r="D40" t="str">
        <f t="shared" si="0"/>
        <v>insert into dw_srm.dim_mob values (38,'mob38');</v>
      </c>
    </row>
    <row r="41" spans="1:4" x14ac:dyDescent="0.35">
      <c r="A41" s="10">
        <v>39</v>
      </c>
      <c r="B41" t="s">
        <v>142</v>
      </c>
      <c r="D41" t="str">
        <f t="shared" si="0"/>
        <v>insert into dw_srm.dim_mob values (39,'mob39');</v>
      </c>
    </row>
    <row r="42" spans="1:4" x14ac:dyDescent="0.35">
      <c r="A42" s="10">
        <v>40</v>
      </c>
      <c r="B42" t="s">
        <v>143</v>
      </c>
      <c r="D42" t="str">
        <f t="shared" si="0"/>
        <v>insert into dw_srm.dim_mob values (40,'mob40');</v>
      </c>
    </row>
    <row r="43" spans="1:4" x14ac:dyDescent="0.35">
      <c r="A43" s="10">
        <v>41</v>
      </c>
      <c r="B43" t="s">
        <v>144</v>
      </c>
      <c r="D43" t="str">
        <f t="shared" si="0"/>
        <v>insert into dw_srm.dim_mob values (41,'mob41');</v>
      </c>
    </row>
    <row r="44" spans="1:4" x14ac:dyDescent="0.35">
      <c r="A44" s="10">
        <v>42</v>
      </c>
      <c r="B44" t="s">
        <v>145</v>
      </c>
      <c r="D44" t="str">
        <f t="shared" si="0"/>
        <v>insert into dw_srm.dim_mob values (42,'mob42');</v>
      </c>
    </row>
    <row r="45" spans="1:4" x14ac:dyDescent="0.35">
      <c r="A45" s="10">
        <v>43</v>
      </c>
      <c r="B45" t="s">
        <v>146</v>
      </c>
      <c r="D45" t="str">
        <f t="shared" si="0"/>
        <v>insert into dw_srm.dim_mob values (43,'mob43');</v>
      </c>
    </row>
    <row r="46" spans="1:4" x14ac:dyDescent="0.35">
      <c r="A46" s="10">
        <v>44</v>
      </c>
      <c r="B46" t="s">
        <v>147</v>
      </c>
      <c r="D46" t="str">
        <f t="shared" si="0"/>
        <v>insert into dw_srm.dim_mob values (44,'mob44');</v>
      </c>
    </row>
    <row r="47" spans="1:4" x14ac:dyDescent="0.35">
      <c r="A47" s="10">
        <v>45</v>
      </c>
      <c r="B47" t="s">
        <v>148</v>
      </c>
      <c r="D47" t="str">
        <f t="shared" si="0"/>
        <v>insert into dw_srm.dim_mob values (45,'mob45');</v>
      </c>
    </row>
    <row r="48" spans="1:4" x14ac:dyDescent="0.35">
      <c r="A48" s="10">
        <v>46</v>
      </c>
      <c r="B48" t="s">
        <v>149</v>
      </c>
      <c r="D48" t="str">
        <f t="shared" si="0"/>
        <v>insert into dw_srm.dim_mob values (46,'mob46');</v>
      </c>
    </row>
    <row r="49" spans="1:4" x14ac:dyDescent="0.35">
      <c r="A49" s="10">
        <v>47</v>
      </c>
      <c r="B49" t="s">
        <v>150</v>
      </c>
      <c r="D49" t="str">
        <f t="shared" si="0"/>
        <v>insert into dw_srm.dim_mob values (47,'mob47');</v>
      </c>
    </row>
    <row r="50" spans="1:4" x14ac:dyDescent="0.35">
      <c r="A50" s="10">
        <v>48</v>
      </c>
      <c r="B50" t="s">
        <v>151</v>
      </c>
      <c r="D50" t="str">
        <f t="shared" si="0"/>
        <v>insert into dw_srm.dim_mob values (48,'mob48');</v>
      </c>
    </row>
    <row r="51" spans="1:4" x14ac:dyDescent="0.35">
      <c r="A51" s="10">
        <v>49</v>
      </c>
      <c r="B51" t="s">
        <v>152</v>
      </c>
      <c r="D51" t="str">
        <f t="shared" si="0"/>
        <v>insert into dw_srm.dim_mob values (49,'mob49');</v>
      </c>
    </row>
    <row r="52" spans="1:4" x14ac:dyDescent="0.35">
      <c r="A52" s="10">
        <v>50</v>
      </c>
      <c r="B52" t="s">
        <v>153</v>
      </c>
      <c r="D52" t="str">
        <f t="shared" si="0"/>
        <v>insert into dw_srm.dim_mob values (50,'mob50');</v>
      </c>
    </row>
    <row r="53" spans="1:4" x14ac:dyDescent="0.35">
      <c r="A53" s="10">
        <v>51</v>
      </c>
      <c r="B53" t="s">
        <v>154</v>
      </c>
      <c r="D53" t="str">
        <f t="shared" si="0"/>
        <v>insert into dw_srm.dim_mob values (51,'mob51');</v>
      </c>
    </row>
    <row r="54" spans="1:4" x14ac:dyDescent="0.35">
      <c r="A54" s="10">
        <v>52</v>
      </c>
      <c r="B54" t="s">
        <v>155</v>
      </c>
      <c r="D54" t="str">
        <f t="shared" si="0"/>
        <v>insert into dw_srm.dim_mob values (52,'mob52');</v>
      </c>
    </row>
    <row r="55" spans="1:4" x14ac:dyDescent="0.35">
      <c r="A55" s="10">
        <v>53</v>
      </c>
      <c r="B55" t="s">
        <v>156</v>
      </c>
      <c r="D55" t="str">
        <f t="shared" si="0"/>
        <v>insert into dw_srm.dim_mob values (53,'mob53');</v>
      </c>
    </row>
    <row r="56" spans="1:4" x14ac:dyDescent="0.35">
      <c r="A56" s="10">
        <v>54</v>
      </c>
      <c r="B56" t="s">
        <v>157</v>
      </c>
      <c r="D56" t="str">
        <f t="shared" si="0"/>
        <v>insert into dw_srm.dim_mob values (54,'mob54');</v>
      </c>
    </row>
    <row r="57" spans="1:4" x14ac:dyDescent="0.35">
      <c r="A57" s="10">
        <v>55</v>
      </c>
      <c r="B57" t="s">
        <v>158</v>
      </c>
      <c r="D57" t="str">
        <f t="shared" si="0"/>
        <v>insert into dw_srm.dim_mob values (55,'mob55');</v>
      </c>
    </row>
    <row r="58" spans="1:4" x14ac:dyDescent="0.35">
      <c r="A58" s="10">
        <v>56</v>
      </c>
      <c r="B58" t="s">
        <v>159</v>
      </c>
      <c r="D58" t="str">
        <f t="shared" si="0"/>
        <v>insert into dw_srm.dim_mob values (56,'mob56');</v>
      </c>
    </row>
    <row r="59" spans="1:4" x14ac:dyDescent="0.35">
      <c r="A59" s="10">
        <v>57</v>
      </c>
      <c r="B59" t="s">
        <v>160</v>
      </c>
      <c r="D59" t="str">
        <f t="shared" si="0"/>
        <v>insert into dw_srm.dim_mob values (57,'mob57');</v>
      </c>
    </row>
    <row r="60" spans="1:4" x14ac:dyDescent="0.35">
      <c r="A60" s="10">
        <v>58</v>
      </c>
      <c r="B60" t="s">
        <v>161</v>
      </c>
      <c r="D60" t="str">
        <f t="shared" si="0"/>
        <v>insert into dw_srm.dim_mob values (58,'mob58');</v>
      </c>
    </row>
    <row r="61" spans="1:4" x14ac:dyDescent="0.35">
      <c r="A61" s="10">
        <v>59</v>
      </c>
      <c r="B61" t="s">
        <v>162</v>
      </c>
      <c r="D61" t="str">
        <f t="shared" si="0"/>
        <v>insert into dw_srm.dim_mob values (59,'mob59');</v>
      </c>
    </row>
    <row r="62" spans="1:4" x14ac:dyDescent="0.35">
      <c r="A62" s="10">
        <v>60</v>
      </c>
      <c r="B62" t="s">
        <v>163</v>
      </c>
      <c r="D62" t="str">
        <f t="shared" si="0"/>
        <v>insert into dw_srm.dim_mob values (60,'mob60');</v>
      </c>
    </row>
    <row r="63" spans="1:4" x14ac:dyDescent="0.35">
      <c r="A63" s="10">
        <v>61</v>
      </c>
      <c r="B63" t="s">
        <v>164</v>
      </c>
      <c r="D63" t="str">
        <f t="shared" si="0"/>
        <v>insert into dw_srm.dim_mob values (61,'mob61');</v>
      </c>
    </row>
    <row r="64" spans="1:4" x14ac:dyDescent="0.35">
      <c r="A64" s="10">
        <v>62</v>
      </c>
      <c r="B64" t="s">
        <v>165</v>
      </c>
      <c r="D64" t="str">
        <f t="shared" si="0"/>
        <v>insert into dw_srm.dim_mob values (62,'mob62');</v>
      </c>
    </row>
    <row r="65" spans="1:4" x14ac:dyDescent="0.35">
      <c r="A65" s="10">
        <v>63</v>
      </c>
      <c r="B65" t="s">
        <v>166</v>
      </c>
      <c r="D65" t="str">
        <f t="shared" si="0"/>
        <v>insert into dw_srm.dim_mob values (63,'mob63');</v>
      </c>
    </row>
    <row r="66" spans="1:4" x14ac:dyDescent="0.35">
      <c r="A66" s="10">
        <v>64</v>
      </c>
      <c r="B66" t="s">
        <v>167</v>
      </c>
      <c r="D66" t="str">
        <f t="shared" si="0"/>
        <v>insert into dw_srm.dim_mob values (64,'mob64');</v>
      </c>
    </row>
    <row r="67" spans="1:4" x14ac:dyDescent="0.35">
      <c r="A67" s="10">
        <v>65</v>
      </c>
      <c r="B67" t="s">
        <v>168</v>
      </c>
      <c r="D67" t="str">
        <f t="shared" ref="D67:D122" si="1">"insert into dw_srm.dim_mob values ("&amp;A67&amp;",'"&amp;B67&amp;"');"</f>
        <v>insert into dw_srm.dim_mob values (65,'mob65');</v>
      </c>
    </row>
    <row r="68" spans="1:4" x14ac:dyDescent="0.35">
      <c r="A68" s="10">
        <v>66</v>
      </c>
      <c r="B68" t="s">
        <v>169</v>
      </c>
      <c r="D68" t="str">
        <f t="shared" si="1"/>
        <v>insert into dw_srm.dim_mob values (66,'mob66');</v>
      </c>
    </row>
    <row r="69" spans="1:4" x14ac:dyDescent="0.35">
      <c r="A69" s="10">
        <v>67</v>
      </c>
      <c r="B69" t="s">
        <v>170</v>
      </c>
      <c r="D69" t="str">
        <f t="shared" si="1"/>
        <v>insert into dw_srm.dim_mob values (67,'mob67');</v>
      </c>
    </row>
    <row r="70" spans="1:4" x14ac:dyDescent="0.35">
      <c r="A70" s="10">
        <v>68</v>
      </c>
      <c r="B70" t="s">
        <v>171</v>
      </c>
      <c r="D70" t="str">
        <f t="shared" si="1"/>
        <v>insert into dw_srm.dim_mob values (68,'mob68');</v>
      </c>
    </row>
    <row r="71" spans="1:4" x14ac:dyDescent="0.35">
      <c r="A71" s="10">
        <v>69</v>
      </c>
      <c r="B71" t="s">
        <v>172</v>
      </c>
      <c r="D71" t="str">
        <f t="shared" si="1"/>
        <v>insert into dw_srm.dim_mob values (69,'mob69');</v>
      </c>
    </row>
    <row r="72" spans="1:4" x14ac:dyDescent="0.35">
      <c r="A72" s="10">
        <v>70</v>
      </c>
      <c r="B72" t="s">
        <v>173</v>
      </c>
      <c r="D72" t="str">
        <f t="shared" si="1"/>
        <v>insert into dw_srm.dim_mob values (70,'mob70');</v>
      </c>
    </row>
    <row r="73" spans="1:4" x14ac:dyDescent="0.35">
      <c r="A73" s="10">
        <v>71</v>
      </c>
      <c r="B73" t="s">
        <v>174</v>
      </c>
      <c r="D73" t="str">
        <f t="shared" si="1"/>
        <v>insert into dw_srm.dim_mob values (71,'mob71');</v>
      </c>
    </row>
    <row r="74" spans="1:4" x14ac:dyDescent="0.35">
      <c r="A74" s="10">
        <v>72</v>
      </c>
      <c r="B74" t="s">
        <v>175</v>
      </c>
      <c r="D74" t="str">
        <f t="shared" si="1"/>
        <v>insert into dw_srm.dim_mob values (72,'mob72');</v>
      </c>
    </row>
    <row r="75" spans="1:4" x14ac:dyDescent="0.35">
      <c r="A75" s="10">
        <v>73</v>
      </c>
      <c r="B75" t="s">
        <v>176</v>
      </c>
      <c r="D75" t="str">
        <f t="shared" si="1"/>
        <v>insert into dw_srm.dim_mob values (73,'mob73');</v>
      </c>
    </row>
    <row r="76" spans="1:4" x14ac:dyDescent="0.35">
      <c r="A76" s="10">
        <v>74</v>
      </c>
      <c r="B76" t="s">
        <v>177</v>
      </c>
      <c r="D76" t="str">
        <f t="shared" si="1"/>
        <v>insert into dw_srm.dim_mob values (74,'mob74');</v>
      </c>
    </row>
    <row r="77" spans="1:4" x14ac:dyDescent="0.35">
      <c r="A77" s="10">
        <v>75</v>
      </c>
      <c r="B77" t="s">
        <v>178</v>
      </c>
      <c r="D77" t="str">
        <f t="shared" si="1"/>
        <v>insert into dw_srm.dim_mob values (75,'mob75');</v>
      </c>
    </row>
    <row r="78" spans="1:4" x14ac:dyDescent="0.35">
      <c r="A78" s="10">
        <v>76</v>
      </c>
      <c r="B78" t="s">
        <v>179</v>
      </c>
      <c r="D78" t="str">
        <f t="shared" si="1"/>
        <v>insert into dw_srm.dim_mob values (76,'mob76');</v>
      </c>
    </row>
    <row r="79" spans="1:4" x14ac:dyDescent="0.35">
      <c r="A79" s="10">
        <v>77</v>
      </c>
      <c r="B79" t="s">
        <v>180</v>
      </c>
      <c r="D79" t="str">
        <f t="shared" si="1"/>
        <v>insert into dw_srm.dim_mob values (77,'mob77');</v>
      </c>
    </row>
    <row r="80" spans="1:4" x14ac:dyDescent="0.35">
      <c r="A80" s="10">
        <v>78</v>
      </c>
      <c r="B80" t="s">
        <v>181</v>
      </c>
      <c r="D80" t="str">
        <f t="shared" si="1"/>
        <v>insert into dw_srm.dim_mob values (78,'mob78');</v>
      </c>
    </row>
    <row r="81" spans="1:4" x14ac:dyDescent="0.35">
      <c r="A81" s="10">
        <v>79</v>
      </c>
      <c r="B81" t="s">
        <v>182</v>
      </c>
      <c r="D81" t="str">
        <f t="shared" si="1"/>
        <v>insert into dw_srm.dim_mob values (79,'mob79');</v>
      </c>
    </row>
    <row r="82" spans="1:4" x14ac:dyDescent="0.35">
      <c r="A82" s="10">
        <v>80</v>
      </c>
      <c r="B82" t="s">
        <v>183</v>
      </c>
      <c r="D82" t="str">
        <f t="shared" si="1"/>
        <v>insert into dw_srm.dim_mob values (80,'mob80');</v>
      </c>
    </row>
    <row r="83" spans="1:4" x14ac:dyDescent="0.35">
      <c r="A83" s="10">
        <v>81</v>
      </c>
      <c r="B83" t="s">
        <v>184</v>
      </c>
      <c r="D83" t="str">
        <f t="shared" si="1"/>
        <v>insert into dw_srm.dim_mob values (81,'mob81');</v>
      </c>
    </row>
    <row r="84" spans="1:4" x14ac:dyDescent="0.35">
      <c r="A84" s="10">
        <v>82</v>
      </c>
      <c r="B84" t="s">
        <v>185</v>
      </c>
      <c r="D84" t="str">
        <f t="shared" si="1"/>
        <v>insert into dw_srm.dim_mob values (82,'mob82');</v>
      </c>
    </row>
    <row r="85" spans="1:4" x14ac:dyDescent="0.35">
      <c r="A85" s="10">
        <v>83</v>
      </c>
      <c r="B85" t="s">
        <v>186</v>
      </c>
      <c r="D85" t="str">
        <f t="shared" si="1"/>
        <v>insert into dw_srm.dim_mob values (83,'mob83');</v>
      </c>
    </row>
    <row r="86" spans="1:4" x14ac:dyDescent="0.35">
      <c r="A86" s="10">
        <v>84</v>
      </c>
      <c r="B86" t="s">
        <v>187</v>
      </c>
      <c r="D86" t="str">
        <f t="shared" si="1"/>
        <v>insert into dw_srm.dim_mob values (84,'mob84');</v>
      </c>
    </row>
    <row r="87" spans="1:4" x14ac:dyDescent="0.35">
      <c r="A87" s="10">
        <v>85</v>
      </c>
      <c r="B87" t="s">
        <v>188</v>
      </c>
      <c r="D87" t="str">
        <f t="shared" si="1"/>
        <v>insert into dw_srm.dim_mob values (85,'mob85');</v>
      </c>
    </row>
    <row r="88" spans="1:4" x14ac:dyDescent="0.35">
      <c r="A88" s="10">
        <v>86</v>
      </c>
      <c r="B88" t="s">
        <v>189</v>
      </c>
      <c r="D88" t="str">
        <f t="shared" si="1"/>
        <v>insert into dw_srm.dim_mob values (86,'mob86');</v>
      </c>
    </row>
    <row r="89" spans="1:4" x14ac:dyDescent="0.35">
      <c r="A89" s="10">
        <v>87</v>
      </c>
      <c r="B89" t="s">
        <v>190</v>
      </c>
      <c r="D89" t="str">
        <f t="shared" si="1"/>
        <v>insert into dw_srm.dim_mob values (87,'mob87');</v>
      </c>
    </row>
    <row r="90" spans="1:4" x14ac:dyDescent="0.35">
      <c r="A90" s="10">
        <v>88</v>
      </c>
      <c r="B90" t="s">
        <v>191</v>
      </c>
      <c r="D90" t="str">
        <f t="shared" si="1"/>
        <v>insert into dw_srm.dim_mob values (88,'mob88');</v>
      </c>
    </row>
    <row r="91" spans="1:4" x14ac:dyDescent="0.35">
      <c r="A91" s="10">
        <v>89</v>
      </c>
      <c r="B91" t="s">
        <v>192</v>
      </c>
      <c r="D91" t="str">
        <f t="shared" si="1"/>
        <v>insert into dw_srm.dim_mob values (89,'mob89');</v>
      </c>
    </row>
    <row r="92" spans="1:4" x14ac:dyDescent="0.35">
      <c r="A92" s="10">
        <v>90</v>
      </c>
      <c r="B92" t="s">
        <v>193</v>
      </c>
      <c r="D92" t="str">
        <f t="shared" si="1"/>
        <v>insert into dw_srm.dim_mob values (90,'mob90');</v>
      </c>
    </row>
    <row r="93" spans="1:4" x14ac:dyDescent="0.35">
      <c r="A93" s="10">
        <v>91</v>
      </c>
      <c r="B93" t="s">
        <v>194</v>
      </c>
      <c r="D93" t="str">
        <f t="shared" si="1"/>
        <v>insert into dw_srm.dim_mob values (91,'mob91');</v>
      </c>
    </row>
    <row r="94" spans="1:4" x14ac:dyDescent="0.35">
      <c r="A94" s="10">
        <v>92</v>
      </c>
      <c r="B94" t="s">
        <v>195</v>
      </c>
      <c r="D94" t="str">
        <f t="shared" si="1"/>
        <v>insert into dw_srm.dim_mob values (92,'mob92');</v>
      </c>
    </row>
    <row r="95" spans="1:4" x14ac:dyDescent="0.35">
      <c r="A95" s="10">
        <v>93</v>
      </c>
      <c r="B95" t="s">
        <v>196</v>
      </c>
      <c r="D95" t="str">
        <f t="shared" si="1"/>
        <v>insert into dw_srm.dim_mob values (93,'mob93');</v>
      </c>
    </row>
    <row r="96" spans="1:4" x14ac:dyDescent="0.35">
      <c r="A96" s="10">
        <v>94</v>
      </c>
      <c r="B96" t="s">
        <v>197</v>
      </c>
      <c r="D96" t="str">
        <f t="shared" si="1"/>
        <v>insert into dw_srm.dim_mob values (94,'mob94');</v>
      </c>
    </row>
    <row r="97" spans="1:4" x14ac:dyDescent="0.35">
      <c r="A97" s="10">
        <v>95</v>
      </c>
      <c r="B97" t="s">
        <v>198</v>
      </c>
      <c r="D97" t="str">
        <f t="shared" si="1"/>
        <v>insert into dw_srm.dim_mob values (95,'mob95');</v>
      </c>
    </row>
    <row r="98" spans="1:4" x14ac:dyDescent="0.35">
      <c r="A98" s="10">
        <v>96</v>
      </c>
      <c r="B98" t="s">
        <v>199</v>
      </c>
      <c r="D98" t="str">
        <f t="shared" si="1"/>
        <v>insert into dw_srm.dim_mob values (96,'mob96');</v>
      </c>
    </row>
    <row r="99" spans="1:4" x14ac:dyDescent="0.35">
      <c r="A99" s="10">
        <v>97</v>
      </c>
      <c r="B99" t="s">
        <v>200</v>
      </c>
      <c r="D99" t="str">
        <f t="shared" si="1"/>
        <v>insert into dw_srm.dim_mob values (97,'mob97');</v>
      </c>
    </row>
    <row r="100" spans="1:4" x14ac:dyDescent="0.35">
      <c r="A100" s="10">
        <v>98</v>
      </c>
      <c r="B100" t="s">
        <v>201</v>
      </c>
      <c r="D100" t="str">
        <f t="shared" si="1"/>
        <v>insert into dw_srm.dim_mob values (98,'mob98');</v>
      </c>
    </row>
    <row r="101" spans="1:4" x14ac:dyDescent="0.35">
      <c r="A101" s="10">
        <v>99</v>
      </c>
      <c r="B101" t="s">
        <v>202</v>
      </c>
      <c r="D101" t="str">
        <f t="shared" si="1"/>
        <v>insert into dw_srm.dim_mob values (99,'mob99');</v>
      </c>
    </row>
    <row r="102" spans="1:4" x14ac:dyDescent="0.35">
      <c r="A102" s="10">
        <v>100</v>
      </c>
      <c r="B102" t="s">
        <v>203</v>
      </c>
      <c r="D102" t="str">
        <f t="shared" si="1"/>
        <v>insert into dw_srm.dim_mob values (100,'mob100');</v>
      </c>
    </row>
    <row r="103" spans="1:4" x14ac:dyDescent="0.35">
      <c r="A103" s="10">
        <v>101</v>
      </c>
      <c r="B103" t="s">
        <v>204</v>
      </c>
      <c r="D103" t="str">
        <f t="shared" si="1"/>
        <v>insert into dw_srm.dim_mob values (101,'mob101');</v>
      </c>
    </row>
    <row r="104" spans="1:4" x14ac:dyDescent="0.35">
      <c r="A104" s="10">
        <v>102</v>
      </c>
      <c r="B104" t="s">
        <v>205</v>
      </c>
      <c r="D104" t="str">
        <f t="shared" si="1"/>
        <v>insert into dw_srm.dim_mob values (102,'mob102');</v>
      </c>
    </row>
    <row r="105" spans="1:4" x14ac:dyDescent="0.35">
      <c r="A105" s="10">
        <v>103</v>
      </c>
      <c r="B105" t="s">
        <v>206</v>
      </c>
      <c r="D105" t="str">
        <f t="shared" si="1"/>
        <v>insert into dw_srm.dim_mob values (103,'mob103');</v>
      </c>
    </row>
    <row r="106" spans="1:4" x14ac:dyDescent="0.35">
      <c r="A106" s="10">
        <v>104</v>
      </c>
      <c r="B106" t="s">
        <v>207</v>
      </c>
      <c r="D106" t="str">
        <f t="shared" si="1"/>
        <v>insert into dw_srm.dim_mob values (104,'mob104');</v>
      </c>
    </row>
    <row r="107" spans="1:4" x14ac:dyDescent="0.35">
      <c r="A107" s="10">
        <v>105</v>
      </c>
      <c r="B107" t="s">
        <v>208</v>
      </c>
      <c r="D107" t="str">
        <f t="shared" si="1"/>
        <v>insert into dw_srm.dim_mob values (105,'mob105');</v>
      </c>
    </row>
    <row r="108" spans="1:4" x14ac:dyDescent="0.35">
      <c r="A108" s="10">
        <v>106</v>
      </c>
      <c r="B108" t="s">
        <v>209</v>
      </c>
      <c r="D108" t="str">
        <f t="shared" si="1"/>
        <v>insert into dw_srm.dim_mob values (106,'mob106');</v>
      </c>
    </row>
    <row r="109" spans="1:4" x14ac:dyDescent="0.35">
      <c r="A109" s="10">
        <v>107</v>
      </c>
      <c r="B109" t="s">
        <v>210</v>
      </c>
      <c r="D109" t="str">
        <f t="shared" si="1"/>
        <v>insert into dw_srm.dim_mob values (107,'mob107');</v>
      </c>
    </row>
    <row r="110" spans="1:4" x14ac:dyDescent="0.35">
      <c r="A110" s="10">
        <v>108</v>
      </c>
      <c r="B110" t="s">
        <v>211</v>
      </c>
      <c r="D110" t="str">
        <f t="shared" si="1"/>
        <v>insert into dw_srm.dim_mob values (108,'mob108');</v>
      </c>
    </row>
    <row r="111" spans="1:4" x14ac:dyDescent="0.35">
      <c r="A111" s="10">
        <v>109</v>
      </c>
      <c r="B111" t="s">
        <v>212</v>
      </c>
      <c r="D111" t="str">
        <f t="shared" si="1"/>
        <v>insert into dw_srm.dim_mob values (109,'mob109');</v>
      </c>
    </row>
    <row r="112" spans="1:4" x14ac:dyDescent="0.35">
      <c r="A112" s="10">
        <v>110</v>
      </c>
      <c r="B112" t="s">
        <v>213</v>
      </c>
      <c r="D112" t="str">
        <f t="shared" si="1"/>
        <v>insert into dw_srm.dim_mob values (110,'mob110');</v>
      </c>
    </row>
    <row r="113" spans="1:4" x14ac:dyDescent="0.35">
      <c r="A113" s="10">
        <v>111</v>
      </c>
      <c r="B113" t="s">
        <v>214</v>
      </c>
      <c r="D113" t="str">
        <f t="shared" si="1"/>
        <v>insert into dw_srm.dim_mob values (111,'mob111');</v>
      </c>
    </row>
    <row r="114" spans="1:4" x14ac:dyDescent="0.35">
      <c r="A114" s="10">
        <v>112</v>
      </c>
      <c r="B114" t="s">
        <v>215</v>
      </c>
      <c r="D114" t="str">
        <f t="shared" si="1"/>
        <v>insert into dw_srm.dim_mob values (112,'mob112');</v>
      </c>
    </row>
    <row r="115" spans="1:4" x14ac:dyDescent="0.35">
      <c r="A115" s="10">
        <v>113</v>
      </c>
      <c r="B115" t="s">
        <v>216</v>
      </c>
      <c r="D115" t="str">
        <f t="shared" si="1"/>
        <v>insert into dw_srm.dim_mob values (113,'mob113');</v>
      </c>
    </row>
    <row r="116" spans="1:4" x14ac:dyDescent="0.35">
      <c r="A116" s="10">
        <v>114</v>
      </c>
      <c r="B116" t="s">
        <v>217</v>
      </c>
      <c r="D116" t="str">
        <f t="shared" si="1"/>
        <v>insert into dw_srm.dim_mob values (114,'mob114');</v>
      </c>
    </row>
    <row r="117" spans="1:4" x14ac:dyDescent="0.35">
      <c r="A117" s="10">
        <v>115</v>
      </c>
      <c r="B117" t="s">
        <v>218</v>
      </c>
      <c r="D117" t="str">
        <f t="shared" si="1"/>
        <v>insert into dw_srm.dim_mob values (115,'mob115');</v>
      </c>
    </row>
    <row r="118" spans="1:4" x14ac:dyDescent="0.35">
      <c r="A118" s="10">
        <v>116</v>
      </c>
      <c r="B118" t="s">
        <v>219</v>
      </c>
      <c r="D118" t="str">
        <f t="shared" si="1"/>
        <v>insert into dw_srm.dim_mob values (116,'mob116');</v>
      </c>
    </row>
    <row r="119" spans="1:4" x14ac:dyDescent="0.35">
      <c r="A119" s="10">
        <v>117</v>
      </c>
      <c r="B119" t="s">
        <v>220</v>
      </c>
      <c r="D119" t="str">
        <f t="shared" si="1"/>
        <v>insert into dw_srm.dim_mob values (117,'mob117');</v>
      </c>
    </row>
    <row r="120" spans="1:4" x14ac:dyDescent="0.35">
      <c r="A120" s="10">
        <v>118</v>
      </c>
      <c r="B120" t="s">
        <v>221</v>
      </c>
      <c r="D120" t="str">
        <f t="shared" si="1"/>
        <v>insert into dw_srm.dim_mob values (118,'mob118');</v>
      </c>
    </row>
    <row r="121" spans="1:4" x14ac:dyDescent="0.35">
      <c r="A121" s="10">
        <v>119</v>
      </c>
      <c r="B121" t="s">
        <v>222</v>
      </c>
      <c r="D121" t="str">
        <f t="shared" si="1"/>
        <v>insert into dw_srm.dim_mob values (119,'mob119');</v>
      </c>
    </row>
    <row r="122" spans="1:4" x14ac:dyDescent="0.35">
      <c r="A122" s="10">
        <v>120</v>
      </c>
      <c r="B122" t="s">
        <v>223</v>
      </c>
      <c r="D122" t="str">
        <f t="shared" si="1"/>
        <v>insert into dw_srm.dim_mob values (120,'mob120');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D2" sqref="D2"/>
    </sheetView>
  </sheetViews>
  <sheetFormatPr defaultRowHeight="16.5" x14ac:dyDescent="0.35"/>
  <cols>
    <col min="1" max="1" width="11" style="5" customWidth="1"/>
    <col min="2" max="2" width="15.5" style="5" bestFit="1" customWidth="1"/>
    <col min="4" max="4" width="50.625" bestFit="1" customWidth="1"/>
  </cols>
  <sheetData>
    <row r="1" spans="1:4" x14ac:dyDescent="0.35">
      <c r="A1" s="5" t="s">
        <v>84</v>
      </c>
      <c r="B1" s="5" t="s">
        <v>233</v>
      </c>
    </row>
    <row r="2" spans="1:4" x14ac:dyDescent="0.35">
      <c r="A2" s="23" t="s">
        <v>333</v>
      </c>
      <c r="B2" s="5" t="s">
        <v>332</v>
      </c>
      <c r="D2" t="str">
        <f t="shared" ref="D2" si="0">"insert into dw_srm.dim_expect_cat values ("&amp;A2&amp;",'"&amp;B2&amp;"');"</f>
        <v>insert into dw_srm.dim_expect_cat values (0,'其他');</v>
      </c>
    </row>
    <row r="3" spans="1:4" x14ac:dyDescent="0.35">
      <c r="A3" s="23" t="s">
        <v>254</v>
      </c>
      <c r="B3" s="5" t="s">
        <v>287</v>
      </c>
      <c r="D3" t="str">
        <f>"insert into dw_srm.dim_expect_cat values ("&amp;A3&amp;",'"&amp;B3&amp;"');"</f>
        <v>insert into dw_srm.dim_expect_cat values (1,'1期');</v>
      </c>
    </row>
    <row r="4" spans="1:4" x14ac:dyDescent="0.35">
      <c r="A4" s="23" t="s">
        <v>255</v>
      </c>
      <c r="B4" s="5" t="s">
        <v>300</v>
      </c>
      <c r="D4" t="str">
        <f t="shared" ref="D4:D38" si="1">"insert into dw_srm.dim_expect_cat values ("&amp;A4&amp;",'"&amp;B4&amp;"');"</f>
        <v>insert into dw_srm.dim_expect_cat values (2,'2期');</v>
      </c>
    </row>
    <row r="5" spans="1:4" x14ac:dyDescent="0.35">
      <c r="A5" s="24">
        <v>3</v>
      </c>
      <c r="B5" s="5" t="s">
        <v>301</v>
      </c>
      <c r="D5" t="str">
        <f t="shared" si="1"/>
        <v>insert into dw_srm.dim_expect_cat values (3,'3期');</v>
      </c>
    </row>
    <row r="6" spans="1:4" x14ac:dyDescent="0.35">
      <c r="A6" s="23" t="s">
        <v>256</v>
      </c>
      <c r="B6" s="5" t="s">
        <v>302</v>
      </c>
      <c r="D6" t="str">
        <f t="shared" si="1"/>
        <v>insert into dw_srm.dim_expect_cat values (4,'4期');</v>
      </c>
    </row>
    <row r="7" spans="1:4" x14ac:dyDescent="0.35">
      <c r="A7" s="23" t="s">
        <v>257</v>
      </c>
      <c r="B7" s="5" t="s">
        <v>303</v>
      </c>
      <c r="D7" t="str">
        <f t="shared" si="1"/>
        <v>insert into dw_srm.dim_expect_cat values (5,'5期');</v>
      </c>
    </row>
    <row r="8" spans="1:4" x14ac:dyDescent="0.35">
      <c r="A8" s="23" t="s">
        <v>258</v>
      </c>
      <c r="B8" s="5" t="s">
        <v>236</v>
      </c>
      <c r="D8" t="str">
        <f t="shared" si="1"/>
        <v>insert into dw_srm.dim_expect_cat values (6,'6期');</v>
      </c>
    </row>
    <row r="9" spans="1:4" x14ac:dyDescent="0.35">
      <c r="A9" s="23" t="s">
        <v>259</v>
      </c>
      <c r="B9" s="5" t="s">
        <v>304</v>
      </c>
      <c r="D9" t="str">
        <f t="shared" si="1"/>
        <v>insert into dw_srm.dim_expect_cat values (7,'7期');</v>
      </c>
    </row>
    <row r="10" spans="1:4" x14ac:dyDescent="0.35">
      <c r="A10" s="23" t="s">
        <v>260</v>
      </c>
      <c r="B10" s="5" t="s">
        <v>288</v>
      </c>
      <c r="D10" t="str">
        <f t="shared" si="1"/>
        <v>insert into dw_srm.dim_expect_cat values (8,'8期');</v>
      </c>
    </row>
    <row r="11" spans="1:4" x14ac:dyDescent="0.35">
      <c r="A11" s="23" t="s">
        <v>261</v>
      </c>
      <c r="B11" s="5" t="s">
        <v>289</v>
      </c>
      <c r="D11" t="str">
        <f t="shared" si="1"/>
        <v>insert into dw_srm.dim_expect_cat values (9,'9期');</v>
      </c>
    </row>
    <row r="12" spans="1:4" x14ac:dyDescent="0.35">
      <c r="A12" s="23" t="s">
        <v>262</v>
      </c>
      <c r="B12" s="5" t="s">
        <v>290</v>
      </c>
      <c r="D12" t="str">
        <f t="shared" si="1"/>
        <v>insert into dw_srm.dim_expect_cat values (10,'10期');</v>
      </c>
    </row>
    <row r="13" spans="1:4" x14ac:dyDescent="0.35">
      <c r="A13" s="23" t="s">
        <v>263</v>
      </c>
      <c r="B13" s="5" t="s">
        <v>291</v>
      </c>
      <c r="D13" t="str">
        <f t="shared" si="1"/>
        <v>insert into dw_srm.dim_expect_cat values (11,'11期');</v>
      </c>
    </row>
    <row r="14" spans="1:4" x14ac:dyDescent="0.35">
      <c r="A14" s="23" t="s">
        <v>264</v>
      </c>
      <c r="B14" s="5" t="s">
        <v>237</v>
      </c>
      <c r="D14" t="str">
        <f t="shared" si="1"/>
        <v>insert into dw_srm.dim_expect_cat values (12,'12期');</v>
      </c>
    </row>
    <row r="15" spans="1:4" x14ac:dyDescent="0.35">
      <c r="A15" s="23" t="s">
        <v>265</v>
      </c>
      <c r="B15" s="5" t="s">
        <v>292</v>
      </c>
      <c r="D15" t="str">
        <f t="shared" si="1"/>
        <v>insert into dw_srm.dim_expect_cat values (13,'13期');</v>
      </c>
    </row>
    <row r="16" spans="1:4" x14ac:dyDescent="0.35">
      <c r="A16" s="23" t="s">
        <v>266</v>
      </c>
      <c r="B16" s="5" t="s">
        <v>293</v>
      </c>
      <c r="D16" t="str">
        <f t="shared" si="1"/>
        <v>insert into dw_srm.dim_expect_cat values (14,'14期');</v>
      </c>
    </row>
    <row r="17" spans="1:4" x14ac:dyDescent="0.35">
      <c r="A17" s="23" t="s">
        <v>267</v>
      </c>
      <c r="B17" s="5" t="s">
        <v>294</v>
      </c>
      <c r="D17" t="str">
        <f t="shared" si="1"/>
        <v>insert into dw_srm.dim_expect_cat values (15,'15期');</v>
      </c>
    </row>
    <row r="18" spans="1:4" x14ac:dyDescent="0.35">
      <c r="A18" s="23" t="s">
        <v>268</v>
      </c>
      <c r="B18" s="5" t="s">
        <v>295</v>
      </c>
      <c r="D18" t="str">
        <f t="shared" si="1"/>
        <v>insert into dw_srm.dim_expect_cat values (16,'16期');</v>
      </c>
    </row>
    <row r="19" spans="1:4" x14ac:dyDescent="0.35">
      <c r="A19" s="23" t="s">
        <v>269</v>
      </c>
      <c r="B19" s="5" t="s">
        <v>296</v>
      </c>
      <c r="D19" t="str">
        <f t="shared" si="1"/>
        <v>insert into dw_srm.dim_expect_cat values (17,'17期');</v>
      </c>
    </row>
    <row r="20" spans="1:4" x14ac:dyDescent="0.35">
      <c r="A20" s="23" t="s">
        <v>270</v>
      </c>
      <c r="B20" s="5" t="s">
        <v>297</v>
      </c>
      <c r="D20" t="str">
        <f t="shared" si="1"/>
        <v>insert into dw_srm.dim_expect_cat values (18,'18期');</v>
      </c>
    </row>
    <row r="21" spans="1:4" x14ac:dyDescent="0.35">
      <c r="A21" s="23" t="s">
        <v>271</v>
      </c>
      <c r="B21" s="5" t="s">
        <v>298</v>
      </c>
      <c r="D21" t="str">
        <f t="shared" si="1"/>
        <v>insert into dw_srm.dim_expect_cat values (19,'19期');</v>
      </c>
    </row>
    <row r="22" spans="1:4" x14ac:dyDescent="0.35">
      <c r="A22" s="23" t="s">
        <v>272</v>
      </c>
      <c r="B22" s="5" t="s">
        <v>299</v>
      </c>
      <c r="D22" t="str">
        <f t="shared" si="1"/>
        <v>insert into dw_srm.dim_expect_cat values (20,'20期');</v>
      </c>
    </row>
    <row r="23" spans="1:4" x14ac:dyDescent="0.35">
      <c r="A23" s="23" t="s">
        <v>273</v>
      </c>
      <c r="B23" s="5" t="s">
        <v>305</v>
      </c>
      <c r="D23" t="str">
        <f t="shared" si="1"/>
        <v>insert into dw_srm.dim_expect_cat values (21,'21期');</v>
      </c>
    </row>
    <row r="24" spans="1:4" x14ac:dyDescent="0.35">
      <c r="A24" s="23" t="s">
        <v>274</v>
      </c>
      <c r="B24" s="5" t="s">
        <v>306</v>
      </c>
      <c r="D24" t="str">
        <f t="shared" si="1"/>
        <v>insert into dw_srm.dim_expect_cat values (22,'22期');</v>
      </c>
    </row>
    <row r="25" spans="1:4" x14ac:dyDescent="0.35">
      <c r="A25" s="23" t="s">
        <v>275</v>
      </c>
      <c r="B25" s="5" t="s">
        <v>307</v>
      </c>
      <c r="D25" t="str">
        <f t="shared" si="1"/>
        <v>insert into dw_srm.dim_expect_cat values (23,'23期');</v>
      </c>
    </row>
    <row r="26" spans="1:4" x14ac:dyDescent="0.35">
      <c r="A26" s="23" t="s">
        <v>234</v>
      </c>
      <c r="B26" s="5" t="s">
        <v>238</v>
      </c>
      <c r="D26" t="str">
        <f t="shared" si="1"/>
        <v>insert into dw_srm.dim_expect_cat values (24,'24期');</v>
      </c>
    </row>
    <row r="27" spans="1:4" x14ac:dyDescent="0.35">
      <c r="A27" s="23" t="s">
        <v>276</v>
      </c>
      <c r="B27" s="5" t="s">
        <v>308</v>
      </c>
      <c r="D27" t="str">
        <f t="shared" si="1"/>
        <v>insert into dw_srm.dim_expect_cat values (25,'25期');</v>
      </c>
    </row>
    <row r="28" spans="1:4" x14ac:dyDescent="0.35">
      <c r="A28" s="23" t="s">
        <v>277</v>
      </c>
      <c r="B28" s="5" t="s">
        <v>309</v>
      </c>
      <c r="D28" t="str">
        <f t="shared" si="1"/>
        <v>insert into dw_srm.dim_expect_cat values (26,'26期');</v>
      </c>
    </row>
    <row r="29" spans="1:4" x14ac:dyDescent="0.35">
      <c r="A29" s="23" t="s">
        <v>278</v>
      </c>
      <c r="B29" s="5" t="s">
        <v>310</v>
      </c>
      <c r="D29" t="str">
        <f t="shared" si="1"/>
        <v>insert into dw_srm.dim_expect_cat values (27,'27期');</v>
      </c>
    </row>
    <row r="30" spans="1:4" x14ac:dyDescent="0.35">
      <c r="A30" s="23" t="s">
        <v>279</v>
      </c>
      <c r="B30" s="5" t="s">
        <v>311</v>
      </c>
      <c r="D30" t="str">
        <f t="shared" si="1"/>
        <v>insert into dw_srm.dim_expect_cat values (28,'28期');</v>
      </c>
    </row>
    <row r="31" spans="1:4" x14ac:dyDescent="0.35">
      <c r="A31" s="23" t="s">
        <v>280</v>
      </c>
      <c r="B31" s="5" t="s">
        <v>312</v>
      </c>
      <c r="D31" t="str">
        <f t="shared" si="1"/>
        <v>insert into dw_srm.dim_expect_cat values (29,'29期');</v>
      </c>
    </row>
    <row r="32" spans="1:4" x14ac:dyDescent="0.35">
      <c r="A32" s="23" t="s">
        <v>281</v>
      </c>
      <c r="B32" s="5" t="s">
        <v>313</v>
      </c>
      <c r="D32" t="str">
        <f t="shared" si="1"/>
        <v>insert into dw_srm.dim_expect_cat values (30,'30期');</v>
      </c>
    </row>
    <row r="33" spans="1:4" x14ac:dyDescent="0.35">
      <c r="A33" s="23" t="s">
        <v>282</v>
      </c>
      <c r="B33" s="5" t="s">
        <v>314</v>
      </c>
      <c r="D33" t="str">
        <f t="shared" si="1"/>
        <v>insert into dw_srm.dim_expect_cat values (31,'31期');</v>
      </c>
    </row>
    <row r="34" spans="1:4" x14ac:dyDescent="0.35">
      <c r="A34" s="23" t="s">
        <v>283</v>
      </c>
      <c r="B34" s="5" t="s">
        <v>315</v>
      </c>
      <c r="D34" t="str">
        <f t="shared" si="1"/>
        <v>insert into dw_srm.dim_expect_cat values (32,'32期');</v>
      </c>
    </row>
    <row r="35" spans="1:4" x14ac:dyDescent="0.35">
      <c r="A35" s="23" t="s">
        <v>284</v>
      </c>
      <c r="B35" s="5" t="s">
        <v>316</v>
      </c>
      <c r="D35" t="str">
        <f t="shared" si="1"/>
        <v>insert into dw_srm.dim_expect_cat values (33,'33期');</v>
      </c>
    </row>
    <row r="36" spans="1:4" x14ac:dyDescent="0.35">
      <c r="A36" s="23" t="s">
        <v>285</v>
      </c>
      <c r="B36" s="5" t="s">
        <v>317</v>
      </c>
      <c r="D36" t="str">
        <f t="shared" si="1"/>
        <v>insert into dw_srm.dim_expect_cat values (34,'34期');</v>
      </c>
    </row>
    <row r="37" spans="1:4" x14ac:dyDescent="0.35">
      <c r="A37" s="23" t="s">
        <v>286</v>
      </c>
      <c r="B37" s="5" t="s">
        <v>318</v>
      </c>
      <c r="D37" t="str">
        <f t="shared" si="1"/>
        <v>insert into dw_srm.dim_expect_cat values (35,'35期');</v>
      </c>
    </row>
    <row r="38" spans="1:4" x14ac:dyDescent="0.35">
      <c r="A38" s="23" t="s">
        <v>235</v>
      </c>
      <c r="B38" s="5" t="s">
        <v>239</v>
      </c>
      <c r="D38" t="str">
        <f t="shared" si="1"/>
        <v>insert into dw_srm.dim_expect_cat values (36,'36期');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selection activeCell="C5" sqref="C5"/>
    </sheetView>
  </sheetViews>
  <sheetFormatPr defaultRowHeight="16.5" x14ac:dyDescent="0.35"/>
  <cols>
    <col min="1" max="1" width="11.125" bestFit="1" customWidth="1"/>
    <col min="2" max="2" width="10.25" style="7" bestFit="1" customWidth="1"/>
    <col min="3" max="3" width="16.125" style="7" bestFit="1" customWidth="1"/>
    <col min="4" max="4" width="16.125" style="5" customWidth="1"/>
    <col min="5" max="5" width="16.625" style="7" bestFit="1" customWidth="1"/>
    <col min="6" max="6" width="14" style="5" bestFit="1" customWidth="1"/>
    <col min="7" max="7" width="15.875" style="7" bestFit="1" customWidth="1"/>
    <col min="8" max="8" width="37.75" customWidth="1"/>
    <col min="9" max="13" width="11.125" customWidth="1"/>
    <col min="16" max="16" width="13.125" bestFit="1" customWidth="1"/>
    <col min="18" max="18" width="16.125" style="7" bestFit="1" customWidth="1"/>
    <col min="20" max="20" width="11" customWidth="1"/>
  </cols>
  <sheetData>
    <row r="1" spans="1:20" x14ac:dyDescent="0.35">
      <c r="A1" s="12"/>
      <c r="B1" s="12" t="s">
        <v>53</v>
      </c>
      <c r="C1" s="12" t="s">
        <v>52</v>
      </c>
      <c r="D1" s="12" t="s">
        <v>31</v>
      </c>
      <c r="E1" s="12" t="s">
        <v>72</v>
      </c>
      <c r="F1" s="12" t="s">
        <v>32</v>
      </c>
      <c r="G1" s="12" t="s">
        <v>67</v>
      </c>
      <c r="H1" s="11"/>
      <c r="I1" s="11"/>
      <c r="J1" s="11"/>
      <c r="K1" s="11"/>
      <c r="L1" s="11"/>
      <c r="M1" s="11"/>
      <c r="R1" s="6" t="s">
        <v>34</v>
      </c>
      <c r="T1" s="2" t="s">
        <v>1</v>
      </c>
    </row>
    <row r="2" spans="1:20" x14ac:dyDescent="0.35">
      <c r="A2" s="14"/>
      <c r="B2" s="14" t="s">
        <v>54</v>
      </c>
      <c r="C2" s="12" t="s">
        <v>49</v>
      </c>
      <c r="D2" s="14" t="s">
        <v>41</v>
      </c>
      <c r="E2" s="12" t="s">
        <v>489</v>
      </c>
      <c r="F2" s="14" t="s">
        <v>39</v>
      </c>
      <c r="G2" s="12" t="s">
        <v>35</v>
      </c>
      <c r="H2" s="28" t="s">
        <v>73</v>
      </c>
      <c r="I2" s="10"/>
      <c r="J2" s="10"/>
      <c r="K2" s="10"/>
      <c r="L2" s="10"/>
      <c r="M2" s="10"/>
      <c r="P2" s="4" t="s">
        <v>2</v>
      </c>
      <c r="R2" s="8" t="s">
        <v>33</v>
      </c>
      <c r="T2" s="2" t="s">
        <v>12</v>
      </c>
    </row>
    <row r="3" spans="1:20" x14ac:dyDescent="0.35">
      <c r="A3" s="14"/>
      <c r="B3" s="14" t="s">
        <v>55</v>
      </c>
      <c r="C3" s="12" t="s">
        <v>50</v>
      </c>
      <c r="D3" s="14" t="s">
        <v>41</v>
      </c>
      <c r="E3" s="12" t="s">
        <v>20</v>
      </c>
      <c r="F3" s="14" t="s">
        <v>39</v>
      </c>
      <c r="G3" s="12" t="s">
        <v>35</v>
      </c>
      <c r="H3" s="28"/>
      <c r="I3" s="10"/>
      <c r="J3" s="10"/>
      <c r="K3" s="10"/>
      <c r="L3" s="10"/>
      <c r="M3" s="10"/>
      <c r="P3" s="4" t="s">
        <v>23</v>
      </c>
      <c r="R3" s="8" t="s">
        <v>37</v>
      </c>
      <c r="T3" s="2" t="s">
        <v>15</v>
      </c>
    </row>
    <row r="4" spans="1:20" x14ac:dyDescent="0.35">
      <c r="A4" s="14"/>
      <c r="B4" s="14" t="s">
        <v>56</v>
      </c>
      <c r="C4" s="12" t="s">
        <v>68</v>
      </c>
      <c r="D4" s="14" t="s">
        <v>41</v>
      </c>
      <c r="E4" s="12" t="s">
        <v>20</v>
      </c>
      <c r="F4" s="14" t="s">
        <v>39</v>
      </c>
      <c r="G4" s="12" t="s">
        <v>35</v>
      </c>
      <c r="H4" s="28"/>
      <c r="I4" s="10"/>
      <c r="J4" s="10"/>
      <c r="K4" s="10"/>
      <c r="L4" s="10"/>
      <c r="M4" s="10"/>
      <c r="P4" s="4" t="s">
        <v>17</v>
      </c>
      <c r="R4" s="8" t="s">
        <v>38</v>
      </c>
      <c r="T4" s="2"/>
    </row>
    <row r="5" spans="1:20" x14ac:dyDescent="0.35">
      <c r="A5" s="14"/>
      <c r="B5" s="14" t="s">
        <v>57</v>
      </c>
      <c r="C5" s="12" t="s">
        <v>69</v>
      </c>
      <c r="D5" s="14" t="s">
        <v>42</v>
      </c>
      <c r="E5" s="12" t="s">
        <v>485</v>
      </c>
      <c r="F5" s="14" t="s">
        <v>39</v>
      </c>
      <c r="G5" s="12" t="s">
        <v>35</v>
      </c>
      <c r="H5" s="28"/>
      <c r="I5" s="10"/>
      <c r="J5" s="10"/>
      <c r="K5" s="10"/>
      <c r="L5" s="10"/>
      <c r="M5" s="10"/>
      <c r="P5" s="4" t="s">
        <v>4</v>
      </c>
      <c r="R5" s="8" t="s">
        <v>4</v>
      </c>
      <c r="T5" s="2" t="s">
        <v>3</v>
      </c>
    </row>
    <row r="6" spans="1:20" s="1" customFormat="1" x14ac:dyDescent="0.35">
      <c r="A6" s="19"/>
      <c r="B6" s="14" t="s">
        <v>58</v>
      </c>
      <c r="C6" s="13" t="s">
        <v>70</v>
      </c>
      <c r="D6" s="19" t="s">
        <v>42</v>
      </c>
      <c r="E6" s="13" t="s">
        <v>19</v>
      </c>
      <c r="F6" s="19" t="s">
        <v>39</v>
      </c>
      <c r="G6" s="13" t="s">
        <v>35</v>
      </c>
      <c r="H6" s="28"/>
      <c r="I6" s="20"/>
      <c r="J6" s="20"/>
      <c r="K6" s="20"/>
      <c r="L6" s="16"/>
      <c r="M6" s="16"/>
      <c r="P6" s="17" t="s">
        <v>5</v>
      </c>
      <c r="R6" s="18" t="s">
        <v>24</v>
      </c>
      <c r="T6" s="1" t="s">
        <v>21</v>
      </c>
    </row>
    <row r="7" spans="1:20" s="1" customFormat="1" x14ac:dyDescent="0.35">
      <c r="A7" s="19"/>
      <c r="B7" s="14" t="s">
        <v>59</v>
      </c>
      <c r="C7" s="13" t="s">
        <v>51</v>
      </c>
      <c r="D7" s="19" t="s">
        <v>42</v>
      </c>
      <c r="E7" s="13" t="s">
        <v>19</v>
      </c>
      <c r="F7" s="19" t="s">
        <v>39</v>
      </c>
      <c r="G7" s="13" t="s">
        <v>35</v>
      </c>
      <c r="H7" s="28"/>
      <c r="I7" s="21"/>
      <c r="J7" s="21"/>
      <c r="K7" s="21"/>
      <c r="L7" s="16"/>
      <c r="M7" s="16"/>
      <c r="P7" s="17" t="s">
        <v>30</v>
      </c>
      <c r="R7" s="18" t="s">
        <v>46</v>
      </c>
      <c r="T7" s="1" t="s">
        <v>6</v>
      </c>
    </row>
    <row r="8" spans="1:20" x14ac:dyDescent="0.35">
      <c r="A8" s="14"/>
      <c r="B8" s="14" t="s">
        <v>60</v>
      </c>
      <c r="C8" s="12" t="s">
        <v>334</v>
      </c>
      <c r="D8" s="15" t="s">
        <v>43</v>
      </c>
      <c r="E8" s="12" t="s">
        <v>486</v>
      </c>
      <c r="F8" s="14" t="s">
        <v>39</v>
      </c>
      <c r="G8" s="12" t="s">
        <v>35</v>
      </c>
      <c r="H8" s="28"/>
      <c r="I8" s="10"/>
      <c r="J8" s="10"/>
      <c r="K8" s="10"/>
      <c r="L8" s="10"/>
      <c r="M8" s="10"/>
      <c r="P8" s="4" t="s">
        <v>7</v>
      </c>
      <c r="R8" s="9" t="s">
        <v>2</v>
      </c>
      <c r="T8" s="2" t="s">
        <v>2</v>
      </c>
    </row>
    <row r="9" spans="1:20" x14ac:dyDescent="0.35">
      <c r="A9" s="14"/>
      <c r="B9" s="14" t="s">
        <v>61</v>
      </c>
      <c r="C9" s="12" t="s">
        <v>335</v>
      </c>
      <c r="D9" s="15" t="s">
        <v>43</v>
      </c>
      <c r="E9" s="12" t="s">
        <v>18</v>
      </c>
      <c r="F9" s="14" t="s">
        <v>39</v>
      </c>
      <c r="G9" s="12" t="s">
        <v>35</v>
      </c>
      <c r="H9" s="28"/>
      <c r="I9" s="10"/>
      <c r="J9" s="10"/>
      <c r="K9" s="10"/>
      <c r="L9" s="10"/>
      <c r="M9" s="10"/>
      <c r="P9" s="3" t="s">
        <v>8</v>
      </c>
      <c r="R9" s="8" t="s">
        <v>22</v>
      </c>
      <c r="T9" s="2" t="s">
        <v>22</v>
      </c>
    </row>
    <row r="10" spans="1:20" x14ac:dyDescent="0.35">
      <c r="A10" s="14"/>
      <c r="B10" s="14" t="s">
        <v>62</v>
      </c>
      <c r="C10" s="12" t="s">
        <v>71</v>
      </c>
      <c r="D10" s="15" t="s">
        <v>43</v>
      </c>
      <c r="E10" s="12" t="s">
        <v>18</v>
      </c>
      <c r="F10" s="14" t="s">
        <v>39</v>
      </c>
      <c r="G10" s="12" t="s">
        <v>35</v>
      </c>
      <c r="H10" s="28"/>
      <c r="I10" s="10"/>
      <c r="J10" s="10"/>
      <c r="K10" s="10"/>
      <c r="L10" s="10"/>
      <c r="M10" s="10"/>
      <c r="P10" s="4" t="s">
        <v>9</v>
      </c>
      <c r="R10" s="8" t="s">
        <v>23</v>
      </c>
      <c r="T10" s="2" t="s">
        <v>23</v>
      </c>
    </row>
    <row r="11" spans="1:20" x14ac:dyDescent="0.35">
      <c r="A11" s="14"/>
      <c r="B11" s="14" t="s">
        <v>482</v>
      </c>
      <c r="C11" s="12" t="s">
        <v>479</v>
      </c>
      <c r="D11" s="15" t="s">
        <v>481</v>
      </c>
      <c r="E11" s="12" t="s">
        <v>478</v>
      </c>
      <c r="F11" s="14" t="s">
        <v>39</v>
      </c>
      <c r="G11" s="12" t="s">
        <v>35</v>
      </c>
      <c r="H11" s="28"/>
      <c r="I11" s="10"/>
      <c r="J11" s="10"/>
      <c r="K11" s="10"/>
      <c r="L11" s="10"/>
      <c r="M11" s="10"/>
      <c r="P11" s="4"/>
      <c r="R11" s="27"/>
      <c r="T11" s="2"/>
    </row>
    <row r="12" spans="1:20" x14ac:dyDescent="0.35">
      <c r="A12" s="14"/>
      <c r="B12" s="14" t="s">
        <v>483</v>
      </c>
      <c r="C12" s="12" t="s">
        <v>480</v>
      </c>
      <c r="D12" s="15" t="s">
        <v>481</v>
      </c>
      <c r="E12" s="12" t="s">
        <v>478</v>
      </c>
      <c r="F12" s="14" t="s">
        <v>39</v>
      </c>
      <c r="G12" s="12" t="s">
        <v>35</v>
      </c>
      <c r="H12" s="28"/>
      <c r="I12" s="10"/>
      <c r="J12" s="10"/>
      <c r="K12" s="10"/>
      <c r="L12" s="10"/>
      <c r="M12" s="10"/>
      <c r="P12" s="4"/>
      <c r="R12" s="27"/>
      <c r="T12" s="2"/>
    </row>
    <row r="13" spans="1:20" x14ac:dyDescent="0.35">
      <c r="A13" s="14"/>
      <c r="B13" s="14" t="s">
        <v>490</v>
      </c>
      <c r="C13" s="12" t="s">
        <v>493</v>
      </c>
      <c r="D13" s="15" t="s">
        <v>492</v>
      </c>
      <c r="E13" s="12" t="s">
        <v>495</v>
      </c>
      <c r="F13" s="14" t="s">
        <v>39</v>
      </c>
      <c r="G13" s="12" t="s">
        <v>35</v>
      </c>
      <c r="H13" s="28"/>
      <c r="I13" s="10"/>
      <c r="J13" s="10"/>
      <c r="K13" s="10"/>
      <c r="L13" s="10"/>
      <c r="M13" s="10"/>
      <c r="P13" s="4"/>
      <c r="R13" s="27"/>
    </row>
    <row r="14" spans="1:20" x14ac:dyDescent="0.35">
      <c r="A14" s="14"/>
      <c r="B14" s="14" t="s">
        <v>491</v>
      </c>
      <c r="C14" s="12" t="s">
        <v>494</v>
      </c>
      <c r="D14" s="15" t="s">
        <v>492</v>
      </c>
      <c r="E14" s="12" t="s">
        <v>495</v>
      </c>
      <c r="F14" s="14" t="s">
        <v>39</v>
      </c>
      <c r="G14" s="12" t="s">
        <v>35</v>
      </c>
      <c r="H14" s="28"/>
      <c r="I14" s="10"/>
      <c r="J14" s="10"/>
      <c r="K14" s="10"/>
      <c r="L14" s="10"/>
      <c r="M14" s="10"/>
      <c r="P14" s="4"/>
      <c r="R14" s="27"/>
    </row>
    <row r="15" spans="1:20" x14ac:dyDescent="0.35">
      <c r="A15" s="14"/>
      <c r="B15" s="14" t="s">
        <v>63</v>
      </c>
      <c r="C15" s="12" t="s">
        <v>25</v>
      </c>
      <c r="D15" s="14" t="s">
        <v>44</v>
      </c>
      <c r="E15" s="12" t="s">
        <v>487</v>
      </c>
      <c r="F15" s="14" t="s">
        <v>40</v>
      </c>
      <c r="G15" s="12" t="s">
        <v>36</v>
      </c>
      <c r="H15" s="28" t="s">
        <v>74</v>
      </c>
      <c r="I15" s="10"/>
      <c r="J15" s="10"/>
      <c r="K15" s="10"/>
      <c r="L15" s="10"/>
      <c r="M15" s="10"/>
      <c r="P15" s="4" t="s">
        <v>10</v>
      </c>
      <c r="R15" s="8" t="s">
        <v>25</v>
      </c>
      <c r="T15" s="2" t="s">
        <v>16</v>
      </c>
    </row>
    <row r="16" spans="1:20" x14ac:dyDescent="0.35">
      <c r="A16" s="14"/>
      <c r="B16" s="14" t="s">
        <v>64</v>
      </c>
      <c r="C16" s="12" t="s">
        <v>26</v>
      </c>
      <c r="D16" s="14" t="s">
        <v>44</v>
      </c>
      <c r="E16" s="12" t="s">
        <v>16</v>
      </c>
      <c r="F16" s="14" t="s">
        <v>40</v>
      </c>
      <c r="G16" s="12" t="s">
        <v>36</v>
      </c>
      <c r="H16" s="28"/>
      <c r="I16" s="10"/>
      <c r="J16" s="10"/>
      <c r="K16" s="10"/>
      <c r="L16" s="10"/>
      <c r="M16" s="10"/>
      <c r="P16" s="3" t="s">
        <v>11</v>
      </c>
      <c r="R16" s="8" t="s">
        <v>26</v>
      </c>
      <c r="T16" s="2"/>
    </row>
    <row r="17" spans="1:18" x14ac:dyDescent="0.35">
      <c r="A17" s="14"/>
      <c r="B17" s="14" t="s">
        <v>65</v>
      </c>
      <c r="C17" s="12" t="s">
        <v>47</v>
      </c>
      <c r="D17" s="14" t="s">
        <v>45</v>
      </c>
      <c r="E17" s="12" t="s">
        <v>488</v>
      </c>
      <c r="F17" s="14" t="s">
        <v>40</v>
      </c>
      <c r="G17" s="12" t="s">
        <v>36</v>
      </c>
      <c r="H17" s="28"/>
      <c r="I17" s="10"/>
      <c r="J17" s="10"/>
      <c r="K17" s="10"/>
      <c r="L17" s="10"/>
      <c r="M17" s="10"/>
      <c r="P17" s="3" t="s">
        <v>12</v>
      </c>
      <c r="R17" s="8" t="s">
        <v>28</v>
      </c>
    </row>
    <row r="18" spans="1:18" x14ac:dyDescent="0.35">
      <c r="A18" s="14"/>
      <c r="B18" s="14" t="s">
        <v>66</v>
      </c>
      <c r="C18" s="12" t="s">
        <v>48</v>
      </c>
      <c r="D18" s="14" t="s">
        <v>45</v>
      </c>
      <c r="E18" s="12" t="s">
        <v>27</v>
      </c>
      <c r="F18" s="14" t="s">
        <v>40</v>
      </c>
      <c r="G18" s="12" t="s">
        <v>36</v>
      </c>
      <c r="H18" s="28"/>
      <c r="I18" s="10"/>
      <c r="J18" s="10"/>
      <c r="K18" s="10"/>
      <c r="L18" s="10"/>
      <c r="M18" s="10"/>
      <c r="P18" s="4" t="s">
        <v>13</v>
      </c>
      <c r="R18" s="8" t="s">
        <v>29</v>
      </c>
    </row>
    <row r="19" spans="1:18" x14ac:dyDescent="0.35">
      <c r="B19" s="14" t="s">
        <v>328</v>
      </c>
      <c r="C19" s="7" t="s">
        <v>329</v>
      </c>
      <c r="D19" s="14" t="s">
        <v>330</v>
      </c>
      <c r="E19" s="7" t="s">
        <v>329</v>
      </c>
      <c r="F19" s="14" t="s">
        <v>331</v>
      </c>
      <c r="G19" s="7" t="s">
        <v>329</v>
      </c>
      <c r="P19" s="4" t="s">
        <v>14</v>
      </c>
    </row>
    <row r="20" spans="1:18" x14ac:dyDescent="0.35">
      <c r="A20" t="str">
        <f>"insert into dw_srm.dim_product_cat values ('"&amp;B2&amp;"','"&amp;C2&amp;"','"&amp;D2&amp;"','"&amp;E2&amp;"','"&amp;F2&amp;"','"&amp;G2&amp;"');"</f>
        <v>insert into dw_srm.dim_product_cat values ('010101','专科包','0101','信用贷','01','信贷类');</v>
      </c>
      <c r="P20" s="3" t="s">
        <v>15</v>
      </c>
    </row>
    <row r="21" spans="1:18" x14ac:dyDescent="0.35">
      <c r="A21" t="str">
        <f t="shared" ref="A21:A37" si="0">"insert into dw_srm.dim_product_cat values ('"&amp;B3&amp;"','"&amp;C3&amp;"','"&amp;D3&amp;"','"&amp;E3&amp;"','"&amp;F3&amp;"','"&amp;G3&amp;"');"</f>
        <v>insert into dw_srm.dim_product_cat values ('010102','本科包','0101','信用贷','01','信贷类');</v>
      </c>
    </row>
    <row r="22" spans="1:18" x14ac:dyDescent="0.35">
      <c r="A22" t="str">
        <f t="shared" si="0"/>
        <v>insert into dw_srm.dim_product_cat values ('010103','名校贷应急包','0101','信用贷','01','信贷类');</v>
      </c>
    </row>
    <row r="23" spans="1:18" x14ac:dyDescent="0.35">
      <c r="A23" t="str">
        <f t="shared" si="0"/>
        <v>insert into dw_srm.dim_product_cat values ('010201','大额借','0102','麦子借款','01','信贷类');</v>
      </c>
    </row>
    <row r="24" spans="1:18" x14ac:dyDescent="0.35">
      <c r="A24" t="str">
        <f t="shared" si="0"/>
        <v>insert into dw_srm.dim_product_cat values ('010202','学历贷','0102','麦子借款','01','信贷类');</v>
      </c>
    </row>
    <row r="25" spans="1:18" x14ac:dyDescent="0.35">
      <c r="A25" t="str">
        <f t="shared" si="0"/>
        <v>insert into dw_srm.dim_product_cat values ('010203','消费贷','0102','麦子借款','01','信贷类');</v>
      </c>
    </row>
    <row r="26" spans="1:18" x14ac:dyDescent="0.35">
      <c r="A26" t="str">
        <f t="shared" si="0"/>
        <v>insert into dw_srm.dim_product_cat values ('010301','白领包','0103','白领贷','01','信贷类');</v>
      </c>
    </row>
    <row r="27" spans="1:18" x14ac:dyDescent="0.35">
      <c r="A27" t="str">
        <f t="shared" si="0"/>
        <v>insert into dw_srm.dim_product_cat values ('010302','社保贷','0103','白领贷','01','信贷类');</v>
      </c>
    </row>
    <row r="28" spans="1:18" x14ac:dyDescent="0.35">
      <c r="A28" t="str">
        <f t="shared" si="0"/>
        <v>insert into dw_srm.dim_product_cat values ('010303','应届贷','0103','白领贷','01','信贷类');</v>
      </c>
    </row>
    <row r="29" spans="1:18" x14ac:dyDescent="0.35">
      <c r="A29" t="str">
        <f t="shared" si="0"/>
        <v>insert into dw_srm.dim_product_cat values ('010401','金卡-信用贷','0104','麦子金卡','01','信贷类');</v>
      </c>
    </row>
    <row r="30" spans="1:18" x14ac:dyDescent="0.35">
      <c r="A30" t="str">
        <f t="shared" si="0"/>
        <v>insert into dw_srm.dim_product_cat values ('010402','金卡-麦子借款','0104','麦子金卡','01','信贷类');</v>
      </c>
    </row>
    <row r="31" spans="1:18" x14ac:dyDescent="0.35">
      <c r="A31" t="str">
        <f t="shared" si="0"/>
        <v>insert into dw_srm.dim_product_cat values ('010501','极速金卡-信用贷','0105','极速金卡','01','信贷类');</v>
      </c>
    </row>
    <row r="32" spans="1:18" x14ac:dyDescent="0.35">
      <c r="A32" t="str">
        <f t="shared" si="0"/>
        <v>insert into dw_srm.dim_product_cat values ('010502','极速金卡-麦子借款','0105','极速金卡','01','信贷类');</v>
      </c>
    </row>
    <row r="33" spans="1:1" x14ac:dyDescent="0.35">
      <c r="A33" t="str">
        <f t="shared" si="0"/>
        <v>insert into dw_srm.dim_product_cat values ('020101','教育分期','0201','麦芽分期','02','消费金融类');</v>
      </c>
    </row>
    <row r="34" spans="1:1" x14ac:dyDescent="0.35">
      <c r="A34" t="str">
        <f t="shared" si="0"/>
        <v>insert into dw_srm.dim_product_cat values ('020102','医美分期','0201','麦芽分期','02','消费金融类');</v>
      </c>
    </row>
    <row r="35" spans="1:1" x14ac:dyDescent="0.35">
      <c r="A35" t="str">
        <f t="shared" si="0"/>
        <v>insert into dw_srm.dim_product_cat values ('020201','爱美呗分期(非担保)','0202','爱美呗分期','02','消费金融类');</v>
      </c>
    </row>
    <row r="36" spans="1:1" x14ac:dyDescent="0.35">
      <c r="A36" t="str">
        <f t="shared" si="0"/>
        <v>insert into dw_srm.dim_product_cat values ('020202','爱美呗分期(担保)','0202','爱美呗分期','02','消费金融类');</v>
      </c>
    </row>
    <row r="37" spans="1:1" x14ac:dyDescent="0.35">
      <c r="A37" t="str">
        <f t="shared" si="0"/>
        <v>insert into dw_srm.dim_product_cat values ('000000','其他','0000','其他','00','其他');</v>
      </c>
    </row>
  </sheetData>
  <mergeCells count="2">
    <mergeCell ref="H15:H18"/>
    <mergeCell ref="H2:H14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B15" sqref="B15"/>
    </sheetView>
  </sheetViews>
  <sheetFormatPr defaultRowHeight="16.5" x14ac:dyDescent="0.35"/>
  <cols>
    <col min="1" max="1" width="13.625" bestFit="1" customWidth="1"/>
    <col min="2" max="2" width="12.875" bestFit="1" customWidth="1"/>
    <col min="3" max="3" width="16.25" bestFit="1" customWidth="1"/>
    <col min="4" max="4" width="15.5" bestFit="1" customWidth="1"/>
    <col min="5" max="5" width="16.75" bestFit="1" customWidth="1"/>
    <col min="6" max="6" width="16.125" bestFit="1" customWidth="1"/>
    <col min="7" max="7" width="13.5" bestFit="1" customWidth="1"/>
  </cols>
  <sheetData>
    <row r="1" spans="1:7" x14ac:dyDescent="0.35">
      <c r="A1" t="s">
        <v>341</v>
      </c>
      <c r="B1" t="s">
        <v>342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25" sqref="E25"/>
    </sheetView>
  </sheetViews>
  <sheetFormatPr defaultRowHeight="16.5" x14ac:dyDescent="0.35"/>
  <cols>
    <col min="1" max="1" width="11.125" bestFit="1" customWidth="1"/>
    <col min="2" max="2" width="23.25" customWidth="1"/>
    <col min="5" max="5" width="44" bestFit="1" customWidth="1"/>
  </cols>
  <sheetData>
    <row r="1" spans="1:5" x14ac:dyDescent="0.35">
      <c r="A1" t="s">
        <v>343</v>
      </c>
      <c r="B1" t="s">
        <v>349</v>
      </c>
    </row>
    <row r="2" spans="1:5" x14ac:dyDescent="0.35">
      <c r="A2">
        <v>1</v>
      </c>
      <c r="B2" t="s">
        <v>344</v>
      </c>
      <c r="E2" t="str">
        <f>"insert into dw_srm.dim_gender_cat values ("&amp;A2&amp;",'"&amp;B2&amp;"');"</f>
        <v>insert into dw_srm.dim_gender_cat values (1,'男');</v>
      </c>
    </row>
    <row r="3" spans="1:5" x14ac:dyDescent="0.35">
      <c r="A3">
        <v>2</v>
      </c>
      <c r="B3" t="s">
        <v>345</v>
      </c>
      <c r="E3" t="str">
        <f>"insert into dw_srm.dim_gender_cat values ("&amp;A3&amp;",'"&amp;B3&amp;"');"</f>
        <v>insert into dw_srm.dim_gender_cat values (2,'女');</v>
      </c>
    </row>
    <row r="4" spans="1:5" x14ac:dyDescent="0.35">
      <c r="A4">
        <v>0</v>
      </c>
      <c r="B4" t="s">
        <v>346</v>
      </c>
      <c r="E4" t="str">
        <f>"insert into dw_srm.dim_gender_cat values ("&amp;A4&amp;",'"&amp;B4&amp;"');"</f>
        <v>insert into dw_srm.dim_gender_cat values (0,'缺失');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6" sqref="B6"/>
    </sheetView>
  </sheetViews>
  <sheetFormatPr defaultRowHeight="16.5" x14ac:dyDescent="0.35"/>
  <cols>
    <col min="2" max="2" width="17.75" customWidth="1"/>
    <col min="4" max="4" width="41" bestFit="1" customWidth="1"/>
  </cols>
  <sheetData>
    <row r="1" spans="1:4" x14ac:dyDescent="0.35">
      <c r="A1" t="s">
        <v>416</v>
      </c>
      <c r="B1" t="s">
        <v>347</v>
      </c>
    </row>
    <row r="2" spans="1:4" x14ac:dyDescent="0.35">
      <c r="A2">
        <v>0</v>
      </c>
      <c r="B2" t="s">
        <v>348</v>
      </c>
      <c r="D2" t="str">
        <f>"insert into dw_srm.dim_age_cat values ("&amp;A2&amp;",'"&amp;B2&amp;"');"</f>
        <v>insert into dw_srm.dim_age_cat values (0,'缺失');</v>
      </c>
    </row>
    <row r="3" spans="1:4" x14ac:dyDescent="0.35">
      <c r="A3">
        <v>1</v>
      </c>
      <c r="B3" t="s">
        <v>456</v>
      </c>
      <c r="D3" t="str">
        <f t="shared" ref="D3:D6" si="0">"insert into dw_srm.dim_age_cat values ("&amp;A3&amp;",'"&amp;B3&amp;"');"</f>
        <v>insert into dw_srm.dim_age_cat values (1,'[0, 25]');</v>
      </c>
    </row>
    <row r="4" spans="1:4" x14ac:dyDescent="0.35">
      <c r="A4">
        <v>2</v>
      </c>
      <c r="B4" t="s">
        <v>457</v>
      </c>
      <c r="D4" t="str">
        <f t="shared" si="0"/>
        <v>insert into dw_srm.dim_age_cat values (2,'[26, 30]');</v>
      </c>
    </row>
    <row r="5" spans="1:4" x14ac:dyDescent="0.35">
      <c r="A5">
        <v>3</v>
      </c>
      <c r="B5" t="s">
        <v>458</v>
      </c>
      <c r="D5" t="str">
        <f t="shared" si="0"/>
        <v>insert into dw_srm.dim_age_cat values (3,'[31, 35]');</v>
      </c>
    </row>
    <row r="6" spans="1:4" x14ac:dyDescent="0.35">
      <c r="A6">
        <v>4</v>
      </c>
      <c r="B6" t="s">
        <v>459</v>
      </c>
      <c r="D6" t="str">
        <f t="shared" si="0"/>
        <v>insert into dw_srm.dim_age_cat values (4,'[36, +)');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2" sqref="D12"/>
    </sheetView>
  </sheetViews>
  <sheetFormatPr defaultRowHeight="16.5" x14ac:dyDescent="0.35"/>
  <cols>
    <col min="1" max="1" width="13.625" bestFit="1" customWidth="1"/>
    <col min="2" max="2" width="18.375" bestFit="1" customWidth="1"/>
    <col min="4" max="4" width="46.5" bestFit="1" customWidth="1"/>
  </cols>
  <sheetData>
    <row r="1" spans="1:4" x14ac:dyDescent="0.35">
      <c r="A1" t="s">
        <v>350</v>
      </c>
      <c r="B1" t="s">
        <v>351</v>
      </c>
    </row>
    <row r="2" spans="1:4" x14ac:dyDescent="0.35">
      <c r="A2">
        <v>0</v>
      </c>
      <c r="B2" t="s">
        <v>348</v>
      </c>
      <c r="D2" t="str">
        <f>"insert into dw_srm.dim_education_cat values ("&amp;A2&amp;",'"&amp;B2&amp;"');"</f>
        <v>insert into dw_srm.dim_education_cat values (0,'缺失');</v>
      </c>
    </row>
    <row r="3" spans="1:4" x14ac:dyDescent="0.35">
      <c r="A3">
        <v>1</v>
      </c>
      <c r="B3" t="s">
        <v>352</v>
      </c>
      <c r="D3" t="str">
        <f t="shared" ref="D3:D8" si="0">"insert into dw_srm.dim_education_cat values ("&amp;A3&amp;",'"&amp;B3&amp;"');"</f>
        <v>insert into dw_srm.dim_education_cat values (1,'博士');</v>
      </c>
    </row>
    <row r="4" spans="1:4" x14ac:dyDescent="0.35">
      <c r="A4">
        <v>2</v>
      </c>
      <c r="B4" t="s">
        <v>353</v>
      </c>
      <c r="D4" t="str">
        <f t="shared" si="0"/>
        <v>insert into dw_srm.dim_education_cat values (2,'硕士');</v>
      </c>
    </row>
    <row r="5" spans="1:4" x14ac:dyDescent="0.35">
      <c r="A5">
        <v>3</v>
      </c>
      <c r="B5" t="s">
        <v>354</v>
      </c>
      <c r="D5" t="str">
        <f t="shared" si="0"/>
        <v>insert into dw_srm.dim_education_cat values (3,'本科');</v>
      </c>
    </row>
    <row r="6" spans="1:4" x14ac:dyDescent="0.35">
      <c r="A6">
        <v>4</v>
      </c>
      <c r="B6" t="s">
        <v>355</v>
      </c>
      <c r="D6" t="str">
        <f t="shared" si="0"/>
        <v>insert into dw_srm.dim_education_cat values (4,'专科');</v>
      </c>
    </row>
    <row r="7" spans="1:4" x14ac:dyDescent="0.35">
      <c r="A7">
        <v>5</v>
      </c>
      <c r="B7" t="s">
        <v>356</v>
      </c>
      <c r="D7" t="str">
        <f t="shared" si="0"/>
        <v>insert into dw_srm.dim_education_cat values (5,'专科以下');</v>
      </c>
    </row>
    <row r="8" spans="1:4" x14ac:dyDescent="0.35">
      <c r="A8">
        <v>9</v>
      </c>
      <c r="B8" t="s">
        <v>357</v>
      </c>
      <c r="D8" t="str">
        <f t="shared" si="0"/>
        <v>insert into dw_srm.dim_education_cat values (9,'其他');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7" sqref="D7"/>
    </sheetView>
  </sheetViews>
  <sheetFormatPr defaultRowHeight="16.5" x14ac:dyDescent="0.35"/>
  <cols>
    <col min="1" max="1" width="10.625" bestFit="1" customWidth="1"/>
    <col min="2" max="2" width="15.375" bestFit="1" customWidth="1"/>
    <col min="4" max="4" width="57.5" customWidth="1"/>
  </cols>
  <sheetData>
    <row r="1" spans="1:4" x14ac:dyDescent="0.35">
      <c r="A1" t="s">
        <v>358</v>
      </c>
      <c r="B1" t="s">
        <v>359</v>
      </c>
    </row>
    <row r="2" spans="1:4" x14ac:dyDescent="0.35">
      <c r="A2">
        <v>0</v>
      </c>
      <c r="B2" t="s">
        <v>348</v>
      </c>
      <c r="D2" t="str">
        <f>"insert into dw_srm.dim_school_cat values ("&amp;A2&amp;",'"&amp;B2&amp;"');"</f>
        <v>insert into dw_srm.dim_school_cat values (0,'缺失');</v>
      </c>
    </row>
    <row r="3" spans="1:4" x14ac:dyDescent="0.35">
      <c r="A3">
        <v>1</v>
      </c>
      <c r="B3" t="s">
        <v>360</v>
      </c>
      <c r="D3" t="str">
        <f t="shared" ref="D3:D7" si="0">"insert into dw_srm.dim_school_cat values ("&amp;A3&amp;",'"&amp;B3&amp;"');"</f>
        <v>insert into dw_srm.dim_school_cat values (1,'1本');</v>
      </c>
    </row>
    <row r="4" spans="1:4" x14ac:dyDescent="0.35">
      <c r="A4">
        <v>2</v>
      </c>
      <c r="B4" t="s">
        <v>361</v>
      </c>
      <c r="D4" t="str">
        <f t="shared" si="0"/>
        <v>insert into dw_srm.dim_school_cat values (2,'2本');</v>
      </c>
    </row>
    <row r="5" spans="1:4" x14ac:dyDescent="0.35">
      <c r="A5">
        <v>3</v>
      </c>
      <c r="B5" t="s">
        <v>362</v>
      </c>
      <c r="D5" t="str">
        <f t="shared" si="0"/>
        <v>insert into dw_srm.dim_school_cat values (3,'3本');</v>
      </c>
    </row>
    <row r="6" spans="1:4" x14ac:dyDescent="0.35">
      <c r="A6">
        <v>4</v>
      </c>
      <c r="B6" t="s">
        <v>355</v>
      </c>
      <c r="D6" t="str">
        <f t="shared" si="0"/>
        <v>insert into dw_srm.dim_school_cat values (4,'专科');</v>
      </c>
    </row>
    <row r="7" spans="1:4" x14ac:dyDescent="0.35">
      <c r="A7">
        <v>9</v>
      </c>
      <c r="B7" t="s">
        <v>421</v>
      </c>
      <c r="D7" t="str">
        <f t="shared" si="0"/>
        <v>insert into dw_srm.dim_school_cat values (9,'其他');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6.5" x14ac:dyDescent="0.35"/>
  <cols>
    <col min="1" max="1" width="12.875" bestFit="1" customWidth="1"/>
    <col min="2" max="2" width="19.875" customWidth="1"/>
    <col min="4" max="4" width="59.25" customWidth="1"/>
  </cols>
  <sheetData>
    <row r="1" spans="1:4" x14ac:dyDescent="0.35">
      <c r="A1" t="s">
        <v>363</v>
      </c>
      <c r="B1" t="s">
        <v>417</v>
      </c>
    </row>
    <row r="2" spans="1:4" x14ac:dyDescent="0.35">
      <c r="A2">
        <v>1</v>
      </c>
      <c r="B2" t="s">
        <v>460</v>
      </c>
      <c r="D2" t="str">
        <f>"insert into dw_srm.dim_loan_amt_cat values ("&amp;A2&amp;",'"&amp;B2&amp;"');"</f>
        <v>insert into dw_srm.dim_loan_amt_cat values (1,'[0, 1K]');</v>
      </c>
    </row>
    <row r="3" spans="1:4" x14ac:dyDescent="0.35">
      <c r="A3">
        <v>2</v>
      </c>
      <c r="B3" t="s">
        <v>461</v>
      </c>
      <c r="D3" t="str">
        <f t="shared" ref="D3:D13" si="0">"insert into dw_srm.dim_loan_amt_cat values ("&amp;A3&amp;",'"&amp;B3&amp;"');"</f>
        <v>insert into dw_srm.dim_loan_amt_cat values (2,'(1K, 2K]');</v>
      </c>
    </row>
    <row r="4" spans="1:4" x14ac:dyDescent="0.35">
      <c r="A4">
        <v>3</v>
      </c>
      <c r="B4" t="s">
        <v>462</v>
      </c>
      <c r="D4" t="str">
        <f t="shared" si="0"/>
        <v>insert into dw_srm.dim_loan_amt_cat values (3,'(2K, 3K]');</v>
      </c>
    </row>
    <row r="5" spans="1:4" x14ac:dyDescent="0.35">
      <c r="A5">
        <v>4</v>
      </c>
      <c r="B5" t="s">
        <v>463</v>
      </c>
      <c r="D5" t="str">
        <f t="shared" si="0"/>
        <v>insert into dw_srm.dim_loan_amt_cat values (4,'(3K, 4K]');</v>
      </c>
    </row>
    <row r="6" spans="1:4" x14ac:dyDescent="0.35">
      <c r="A6">
        <v>5</v>
      </c>
      <c r="B6" t="s">
        <v>464</v>
      </c>
      <c r="D6" t="str">
        <f t="shared" si="0"/>
        <v>insert into dw_srm.dim_loan_amt_cat values (5,'(4K, 5K]');</v>
      </c>
    </row>
    <row r="7" spans="1:4" x14ac:dyDescent="0.35">
      <c r="A7">
        <v>6</v>
      </c>
      <c r="B7" t="s">
        <v>465</v>
      </c>
      <c r="D7" t="str">
        <f t="shared" si="0"/>
        <v>insert into dw_srm.dim_loan_amt_cat values (6,'(5K, 10K]');</v>
      </c>
    </row>
    <row r="8" spans="1:4" x14ac:dyDescent="0.35">
      <c r="A8">
        <v>7</v>
      </c>
      <c r="B8" t="s">
        <v>466</v>
      </c>
      <c r="D8" t="str">
        <f t="shared" si="0"/>
        <v>insert into dw_srm.dim_loan_amt_cat values (7,'(10K, 20K]');</v>
      </c>
    </row>
    <row r="9" spans="1:4" x14ac:dyDescent="0.35">
      <c r="A9">
        <v>8</v>
      </c>
      <c r="B9" t="s">
        <v>467</v>
      </c>
      <c r="D9" t="str">
        <f t="shared" si="0"/>
        <v>insert into dw_srm.dim_loan_amt_cat values (8,'(20K, 30K]');</v>
      </c>
    </row>
    <row r="10" spans="1:4" x14ac:dyDescent="0.35">
      <c r="A10">
        <v>9</v>
      </c>
      <c r="B10" t="s">
        <v>364</v>
      </c>
      <c r="D10" t="str">
        <f t="shared" si="0"/>
        <v>insert into dw_srm.dim_loan_amt_cat values (9,'(30K, 40K]');</v>
      </c>
    </row>
    <row r="11" spans="1:4" x14ac:dyDescent="0.35">
      <c r="A11">
        <v>10</v>
      </c>
      <c r="B11" t="s">
        <v>365</v>
      </c>
      <c r="D11" t="str">
        <f t="shared" si="0"/>
        <v>insert into dw_srm.dim_loan_amt_cat values (10,'(40K, 50K]');</v>
      </c>
    </row>
    <row r="12" spans="1:4" x14ac:dyDescent="0.35">
      <c r="A12">
        <v>11</v>
      </c>
      <c r="B12" t="s">
        <v>366</v>
      </c>
      <c r="D12" t="str">
        <f t="shared" si="0"/>
        <v>insert into dw_srm.dim_loan_amt_cat values (11,'(50K, 60K]');</v>
      </c>
    </row>
    <row r="13" spans="1:4" x14ac:dyDescent="0.35">
      <c r="A13">
        <v>12</v>
      </c>
      <c r="B13" t="s">
        <v>472</v>
      </c>
      <c r="D13" t="str">
        <f t="shared" si="0"/>
        <v>insert into dw_srm.dim_loan_amt_cat values (12,'(60K, +)');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D10" sqref="D10"/>
    </sheetView>
  </sheetViews>
  <sheetFormatPr defaultColWidth="8.875" defaultRowHeight="16.5" x14ac:dyDescent="0.35"/>
  <cols>
    <col min="1" max="1" width="12.5" style="7" bestFit="1" customWidth="1"/>
    <col min="2" max="2" width="17.25" style="7" bestFit="1" customWidth="1"/>
    <col min="3" max="3" width="16.75" customWidth="1"/>
    <col min="4" max="4" width="11.875" customWidth="1"/>
    <col min="6" max="6" width="64.125" customWidth="1"/>
  </cols>
  <sheetData>
    <row r="1" spans="1:6" x14ac:dyDescent="0.35">
      <c r="A1" s="7" t="s">
        <v>398</v>
      </c>
      <c r="B1" s="7" t="s">
        <v>418</v>
      </c>
      <c r="C1" t="s">
        <v>399</v>
      </c>
      <c r="D1" t="s">
        <v>419</v>
      </c>
    </row>
    <row r="2" spans="1:6" x14ac:dyDescent="0.35">
      <c r="A2" s="7">
        <v>11</v>
      </c>
      <c r="B2" s="7" t="s">
        <v>375</v>
      </c>
      <c r="C2" s="25" t="s">
        <v>407</v>
      </c>
      <c r="D2" t="s">
        <v>400</v>
      </c>
      <c r="F2" t="str">
        <f>"insert into dw_srm.dim_region_cat values ('"&amp;A2&amp;"','"&amp;B2&amp;"','"&amp;C2&amp;"','"&amp;D2&amp;"');"</f>
        <v>insert into dw_srm.dim_region_cat values ('11','北京市','01','华北');</v>
      </c>
    </row>
    <row r="3" spans="1:6" x14ac:dyDescent="0.35">
      <c r="A3" s="7">
        <v>12</v>
      </c>
      <c r="B3" s="7" t="s">
        <v>367</v>
      </c>
      <c r="C3" s="25" t="s">
        <v>407</v>
      </c>
      <c r="D3" t="s">
        <v>400</v>
      </c>
      <c r="F3" t="str">
        <f t="shared" ref="F3:F34" si="0">"insert into dw_srm.dim_region_cat values ('"&amp;A3&amp;"','"&amp;B3&amp;"','"&amp;C3&amp;"','"&amp;D3&amp;"');"</f>
        <v>insert into dw_srm.dim_region_cat values ('12','天津市','01','华北');</v>
      </c>
    </row>
    <row r="4" spans="1:6" x14ac:dyDescent="0.35">
      <c r="A4" s="7">
        <v>13</v>
      </c>
      <c r="B4" s="7" t="s">
        <v>390</v>
      </c>
      <c r="C4" s="25" t="s">
        <v>407</v>
      </c>
      <c r="D4" t="s">
        <v>400</v>
      </c>
      <c r="F4" t="str">
        <f t="shared" si="0"/>
        <v>insert into dw_srm.dim_region_cat values ('13','河北省','01','华北');</v>
      </c>
    </row>
    <row r="5" spans="1:6" x14ac:dyDescent="0.35">
      <c r="A5" s="7">
        <v>14</v>
      </c>
      <c r="B5" s="7" t="s">
        <v>386</v>
      </c>
      <c r="C5" s="25" t="s">
        <v>407</v>
      </c>
      <c r="D5" t="s">
        <v>400</v>
      </c>
      <c r="F5" t="str">
        <f t="shared" si="0"/>
        <v>insert into dw_srm.dim_region_cat values ('14','山西省','01','华北');</v>
      </c>
    </row>
    <row r="6" spans="1:6" x14ac:dyDescent="0.35">
      <c r="A6" s="7">
        <v>15</v>
      </c>
      <c r="B6" s="7" t="s">
        <v>385</v>
      </c>
      <c r="C6" s="25" t="s">
        <v>407</v>
      </c>
      <c r="D6" t="s">
        <v>400</v>
      </c>
      <c r="F6" t="str">
        <f t="shared" si="0"/>
        <v>insert into dw_srm.dim_region_cat values ('15','内蒙古自治区','01','华北');</v>
      </c>
    </row>
    <row r="7" spans="1:6" x14ac:dyDescent="0.35">
      <c r="A7" s="7">
        <v>21</v>
      </c>
      <c r="B7" s="7" t="s">
        <v>368</v>
      </c>
      <c r="C7" s="25" t="s">
        <v>409</v>
      </c>
      <c r="D7" t="s">
        <v>401</v>
      </c>
      <c r="F7" t="str">
        <f t="shared" si="0"/>
        <v>insert into dw_srm.dim_region_cat values ('21','辽宁省','03','东北');</v>
      </c>
    </row>
    <row r="8" spans="1:6" x14ac:dyDescent="0.35">
      <c r="A8" s="7">
        <v>22</v>
      </c>
      <c r="B8" s="7" t="s">
        <v>378</v>
      </c>
      <c r="C8" s="25" t="s">
        <v>409</v>
      </c>
      <c r="D8" t="s">
        <v>401</v>
      </c>
      <c r="F8" t="str">
        <f t="shared" si="0"/>
        <v>insert into dw_srm.dim_region_cat values ('22','吉林省','03','东北');</v>
      </c>
    </row>
    <row r="9" spans="1:6" x14ac:dyDescent="0.35">
      <c r="A9" s="7">
        <v>23</v>
      </c>
      <c r="B9" s="7" t="s">
        <v>388</v>
      </c>
      <c r="C9" s="25" t="s">
        <v>409</v>
      </c>
      <c r="D9" t="s">
        <v>401</v>
      </c>
      <c r="F9" t="str">
        <f t="shared" si="0"/>
        <v>insert into dw_srm.dim_region_cat values ('23','黑龙江省','03','东北');</v>
      </c>
    </row>
    <row r="10" spans="1:6" x14ac:dyDescent="0.35">
      <c r="A10" s="7">
        <v>31</v>
      </c>
      <c r="B10" s="7" t="s">
        <v>384</v>
      </c>
      <c r="C10" s="25" t="s">
        <v>408</v>
      </c>
      <c r="D10" t="s">
        <v>402</v>
      </c>
      <c r="F10" t="str">
        <f t="shared" si="0"/>
        <v>insert into dw_srm.dim_region_cat values ('31','上海市','02','华东');</v>
      </c>
    </row>
    <row r="11" spans="1:6" x14ac:dyDescent="0.35">
      <c r="A11" s="7">
        <v>32</v>
      </c>
      <c r="B11" s="7" t="s">
        <v>397</v>
      </c>
      <c r="C11" s="25" t="s">
        <v>408</v>
      </c>
      <c r="D11" t="s">
        <v>402</v>
      </c>
      <c r="F11" t="str">
        <f t="shared" si="0"/>
        <v>insert into dw_srm.dim_region_cat values ('32','江苏省','02','华东');</v>
      </c>
    </row>
    <row r="12" spans="1:6" x14ac:dyDescent="0.35">
      <c r="A12" s="7">
        <v>33</v>
      </c>
      <c r="B12" s="7" t="s">
        <v>382</v>
      </c>
      <c r="C12" s="25" t="s">
        <v>408</v>
      </c>
      <c r="D12" t="s">
        <v>402</v>
      </c>
      <c r="F12" t="str">
        <f t="shared" si="0"/>
        <v>insert into dw_srm.dim_region_cat values ('33','浙江省','02','华东');</v>
      </c>
    </row>
    <row r="13" spans="1:6" x14ac:dyDescent="0.35">
      <c r="A13" s="7">
        <v>34</v>
      </c>
      <c r="B13" s="7" t="s">
        <v>372</v>
      </c>
      <c r="C13" s="25" t="s">
        <v>408</v>
      </c>
      <c r="D13" t="s">
        <v>402</v>
      </c>
      <c r="F13" t="str">
        <f t="shared" si="0"/>
        <v>insert into dw_srm.dim_region_cat values ('34','安徽省','02','华东');</v>
      </c>
    </row>
    <row r="14" spans="1:6" x14ac:dyDescent="0.35">
      <c r="A14" s="7">
        <v>35</v>
      </c>
      <c r="B14" s="7" t="s">
        <v>395</v>
      </c>
      <c r="C14" s="25" t="s">
        <v>411</v>
      </c>
      <c r="D14" t="s">
        <v>403</v>
      </c>
      <c r="F14" t="str">
        <f t="shared" si="0"/>
        <v>insert into dw_srm.dim_region_cat values ('35','福建省','05','华南');</v>
      </c>
    </row>
    <row r="15" spans="1:6" x14ac:dyDescent="0.35">
      <c r="A15" s="7">
        <v>36</v>
      </c>
      <c r="B15" s="7" t="s">
        <v>391</v>
      </c>
      <c r="C15" s="25" t="s">
        <v>410</v>
      </c>
      <c r="D15" t="s">
        <v>404</v>
      </c>
      <c r="F15" t="str">
        <f t="shared" si="0"/>
        <v>insert into dw_srm.dim_region_cat values ('36','江西省','04','华中');</v>
      </c>
    </row>
    <row r="16" spans="1:6" x14ac:dyDescent="0.35">
      <c r="A16" s="7">
        <v>37</v>
      </c>
      <c r="B16" s="7" t="s">
        <v>371</v>
      </c>
      <c r="C16" s="25" t="s">
        <v>408</v>
      </c>
      <c r="D16" t="s">
        <v>402</v>
      </c>
      <c r="F16" t="str">
        <f t="shared" si="0"/>
        <v>insert into dw_srm.dim_region_cat values ('37','山东省','02','华东');</v>
      </c>
    </row>
    <row r="17" spans="1:6" x14ac:dyDescent="0.35">
      <c r="A17" s="7">
        <v>41</v>
      </c>
      <c r="B17" s="7" t="s">
        <v>373</v>
      </c>
      <c r="C17" s="25" t="s">
        <v>410</v>
      </c>
      <c r="D17" t="s">
        <v>404</v>
      </c>
      <c r="F17" t="str">
        <f t="shared" si="0"/>
        <v>insert into dw_srm.dim_region_cat values ('41','河南省','04','华中');</v>
      </c>
    </row>
    <row r="18" spans="1:6" x14ac:dyDescent="0.35">
      <c r="A18" s="7">
        <v>42</v>
      </c>
      <c r="B18" s="7" t="s">
        <v>387</v>
      </c>
      <c r="C18" s="25" t="s">
        <v>410</v>
      </c>
      <c r="D18" t="s">
        <v>404</v>
      </c>
      <c r="F18" t="str">
        <f t="shared" si="0"/>
        <v>insert into dw_srm.dim_region_cat values ('42','湖北省','04','华中');</v>
      </c>
    </row>
    <row r="19" spans="1:6" x14ac:dyDescent="0.35">
      <c r="A19" s="7">
        <v>43</v>
      </c>
      <c r="B19" s="7" t="s">
        <v>370</v>
      </c>
      <c r="C19" s="25" t="s">
        <v>410</v>
      </c>
      <c r="D19" t="s">
        <v>404</v>
      </c>
      <c r="F19" t="str">
        <f t="shared" si="0"/>
        <v>insert into dw_srm.dim_region_cat values ('43','湖南省','04','华中');</v>
      </c>
    </row>
    <row r="20" spans="1:6" x14ac:dyDescent="0.35">
      <c r="A20" s="7">
        <v>44</v>
      </c>
      <c r="B20" s="7" t="s">
        <v>394</v>
      </c>
      <c r="C20" s="25" t="s">
        <v>411</v>
      </c>
      <c r="D20" t="s">
        <v>403</v>
      </c>
      <c r="F20" t="str">
        <f t="shared" si="0"/>
        <v>insert into dw_srm.dim_region_cat values ('44','广东省','05','华南');</v>
      </c>
    </row>
    <row r="21" spans="1:6" x14ac:dyDescent="0.35">
      <c r="A21" s="7">
        <v>45</v>
      </c>
      <c r="B21" s="7" t="s">
        <v>381</v>
      </c>
      <c r="C21" s="25" t="s">
        <v>411</v>
      </c>
      <c r="D21" t="s">
        <v>403</v>
      </c>
      <c r="F21" t="str">
        <f t="shared" si="0"/>
        <v>insert into dw_srm.dim_region_cat values ('45','广西壮族自治区','05','华南');</v>
      </c>
    </row>
    <row r="22" spans="1:6" x14ac:dyDescent="0.35">
      <c r="A22" s="7">
        <v>46</v>
      </c>
      <c r="B22" s="7" t="s">
        <v>393</v>
      </c>
      <c r="C22" s="25" t="s">
        <v>411</v>
      </c>
      <c r="D22" t="s">
        <v>403</v>
      </c>
      <c r="F22" t="str">
        <f t="shared" si="0"/>
        <v>insert into dw_srm.dim_region_cat values ('46','海南省','05','华南');</v>
      </c>
    </row>
    <row r="23" spans="1:6" x14ac:dyDescent="0.35">
      <c r="A23" s="7">
        <v>50</v>
      </c>
      <c r="B23" s="7" t="s">
        <v>396</v>
      </c>
      <c r="C23" s="25" t="s">
        <v>412</v>
      </c>
      <c r="D23" t="s">
        <v>405</v>
      </c>
      <c r="F23" t="str">
        <f t="shared" si="0"/>
        <v>insert into dw_srm.dim_region_cat values ('50','重庆市','06','西南');</v>
      </c>
    </row>
    <row r="24" spans="1:6" x14ac:dyDescent="0.35">
      <c r="A24" s="7">
        <v>51</v>
      </c>
      <c r="B24" s="7" t="s">
        <v>374</v>
      </c>
      <c r="C24" s="25" t="s">
        <v>412</v>
      </c>
      <c r="D24" t="s">
        <v>405</v>
      </c>
      <c r="F24" t="str">
        <f t="shared" si="0"/>
        <v>insert into dw_srm.dim_region_cat values ('51','四川省','06','西南');</v>
      </c>
    </row>
    <row r="25" spans="1:6" x14ac:dyDescent="0.35">
      <c r="A25" s="7">
        <v>52</v>
      </c>
      <c r="B25" s="7" t="s">
        <v>392</v>
      </c>
      <c r="C25" s="25" t="s">
        <v>412</v>
      </c>
      <c r="D25" t="s">
        <v>405</v>
      </c>
      <c r="F25" t="str">
        <f t="shared" si="0"/>
        <v>insert into dw_srm.dim_region_cat values ('52','贵州省','06','西南');</v>
      </c>
    </row>
    <row r="26" spans="1:6" x14ac:dyDescent="0.35">
      <c r="A26" s="7">
        <v>53</v>
      </c>
      <c r="B26" s="7" t="s">
        <v>377</v>
      </c>
      <c r="C26" s="25" t="s">
        <v>412</v>
      </c>
      <c r="D26" t="s">
        <v>405</v>
      </c>
      <c r="F26" t="str">
        <f t="shared" si="0"/>
        <v>insert into dw_srm.dim_region_cat values ('53','云南省','06','西南');</v>
      </c>
    </row>
    <row r="27" spans="1:6" x14ac:dyDescent="0.35">
      <c r="A27" s="7">
        <v>54</v>
      </c>
      <c r="B27" s="7" t="s">
        <v>389</v>
      </c>
      <c r="C27" s="25" t="s">
        <v>412</v>
      </c>
      <c r="D27" t="s">
        <v>405</v>
      </c>
      <c r="F27" t="str">
        <f t="shared" si="0"/>
        <v>insert into dw_srm.dim_region_cat values ('54','西藏自治区','06','西南');</v>
      </c>
    </row>
    <row r="28" spans="1:6" x14ac:dyDescent="0.35">
      <c r="A28" s="7">
        <v>61</v>
      </c>
      <c r="B28" s="7" t="s">
        <v>369</v>
      </c>
      <c r="C28" s="25" t="s">
        <v>413</v>
      </c>
      <c r="D28" t="s">
        <v>406</v>
      </c>
      <c r="F28" t="str">
        <f t="shared" si="0"/>
        <v>insert into dw_srm.dim_region_cat values ('61','陕西省','07','西北');</v>
      </c>
    </row>
    <row r="29" spans="1:6" x14ac:dyDescent="0.35">
      <c r="A29" s="7">
        <v>62</v>
      </c>
      <c r="B29" s="7" t="s">
        <v>379</v>
      </c>
      <c r="C29" s="25" t="s">
        <v>413</v>
      </c>
      <c r="D29" t="s">
        <v>406</v>
      </c>
      <c r="F29" t="str">
        <f t="shared" si="0"/>
        <v>insert into dw_srm.dim_region_cat values ('62','甘肃省','07','西北');</v>
      </c>
    </row>
    <row r="30" spans="1:6" x14ac:dyDescent="0.35">
      <c r="A30" s="7">
        <v>63</v>
      </c>
      <c r="B30" s="7" t="s">
        <v>380</v>
      </c>
      <c r="C30" s="25" t="s">
        <v>413</v>
      </c>
      <c r="D30" t="s">
        <v>406</v>
      </c>
      <c r="F30" t="str">
        <f t="shared" si="0"/>
        <v>insert into dw_srm.dim_region_cat values ('63','青海省','07','西北');</v>
      </c>
    </row>
    <row r="31" spans="1:6" x14ac:dyDescent="0.35">
      <c r="A31" s="7">
        <v>64</v>
      </c>
      <c r="B31" s="7" t="s">
        <v>383</v>
      </c>
      <c r="C31" s="25" t="s">
        <v>413</v>
      </c>
      <c r="D31" t="s">
        <v>406</v>
      </c>
      <c r="F31" t="str">
        <f t="shared" si="0"/>
        <v>insert into dw_srm.dim_region_cat values ('64','宁夏回族自治区','07','西北');</v>
      </c>
    </row>
    <row r="32" spans="1:6" x14ac:dyDescent="0.35">
      <c r="A32" s="7">
        <v>65</v>
      </c>
      <c r="B32" s="7" t="s">
        <v>376</v>
      </c>
      <c r="C32" s="25" t="s">
        <v>413</v>
      </c>
      <c r="D32" t="s">
        <v>406</v>
      </c>
      <c r="F32" t="str">
        <f t="shared" si="0"/>
        <v>insert into dw_srm.dim_region_cat values ('65','新疆维吾尔自治区','07','西北');</v>
      </c>
    </row>
    <row r="33" spans="1:6" x14ac:dyDescent="0.35">
      <c r="A33" s="26">
        <v>99</v>
      </c>
      <c r="B33" s="7" t="s">
        <v>421</v>
      </c>
      <c r="C33" s="26">
        <v>99</v>
      </c>
      <c r="D33" s="7" t="s">
        <v>421</v>
      </c>
      <c r="F33" t="str">
        <f t="shared" si="0"/>
        <v>insert into dw_srm.dim_region_cat values ('99','其他','99','其他');</v>
      </c>
    </row>
    <row r="34" spans="1:6" x14ac:dyDescent="0.35">
      <c r="A34" s="26" t="s">
        <v>420</v>
      </c>
      <c r="B34" s="7" t="s">
        <v>348</v>
      </c>
      <c r="C34" s="26" t="s">
        <v>420</v>
      </c>
      <c r="D34" s="7" t="s">
        <v>348</v>
      </c>
      <c r="F34" t="str">
        <f t="shared" si="0"/>
        <v>insert into dw_srm.dim_region_cat values ('00','缺失','00','缺失');</v>
      </c>
    </row>
  </sheetData>
  <sortState ref="A2:B32">
    <sortCondition ref="A1"/>
  </sortState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2" sqref="B12"/>
    </sheetView>
  </sheetViews>
  <sheetFormatPr defaultRowHeight="16.5" x14ac:dyDescent="0.35"/>
  <cols>
    <col min="1" max="1" width="12.875" bestFit="1" customWidth="1"/>
    <col min="2" max="2" width="17.625" bestFit="1" customWidth="1"/>
    <col min="4" max="4" width="52" bestFit="1" customWidth="1"/>
  </cols>
  <sheetData>
    <row r="1" spans="1:4" x14ac:dyDescent="0.35">
      <c r="A1" t="s">
        <v>422</v>
      </c>
      <c r="B1" t="s">
        <v>423</v>
      </c>
    </row>
    <row r="2" spans="1:4" x14ac:dyDescent="0.35">
      <c r="A2">
        <v>0</v>
      </c>
      <c r="B2" t="s">
        <v>348</v>
      </c>
      <c r="D2" t="str">
        <f>"insert into dw_srm.dim_td_score_cat values ("&amp;A2&amp;",'"&amp;B2&amp;"');"</f>
        <v>insert into dw_srm.dim_td_score_cat values (0,'缺失');</v>
      </c>
    </row>
    <row r="3" spans="1:4" x14ac:dyDescent="0.35">
      <c r="A3">
        <v>1</v>
      </c>
      <c r="B3" t="s">
        <v>468</v>
      </c>
      <c r="D3" t="str">
        <f t="shared" ref="D3:D12" si="0">"insert into dw_srm.dim_td_score_cat values ("&amp;A3&amp;",'"&amp;B3&amp;"');"</f>
        <v>insert into dw_srm.dim_td_score_cat values (1,'[0, 10]');</v>
      </c>
    </row>
    <row r="4" spans="1:4" x14ac:dyDescent="0.35">
      <c r="A4">
        <v>2</v>
      </c>
      <c r="B4" t="s">
        <v>469</v>
      </c>
      <c r="D4" t="str">
        <f t="shared" si="0"/>
        <v>insert into dw_srm.dim_td_score_cat values (2,'[11, 20]');</v>
      </c>
    </row>
    <row r="5" spans="1:4" x14ac:dyDescent="0.35">
      <c r="A5">
        <v>3</v>
      </c>
      <c r="B5" t="s">
        <v>470</v>
      </c>
      <c r="D5" t="str">
        <f t="shared" si="0"/>
        <v>insert into dw_srm.dim_td_score_cat values (3,'[21, 30]');</v>
      </c>
    </row>
    <row r="6" spans="1:4" x14ac:dyDescent="0.35">
      <c r="A6">
        <v>4</v>
      </c>
      <c r="B6" t="s">
        <v>424</v>
      </c>
      <c r="D6" t="str">
        <f t="shared" si="0"/>
        <v>insert into dw_srm.dim_td_score_cat values (4,'[31, 40]');</v>
      </c>
    </row>
    <row r="7" spans="1:4" x14ac:dyDescent="0.35">
      <c r="A7">
        <v>5</v>
      </c>
      <c r="B7" t="s">
        <v>425</v>
      </c>
      <c r="D7" t="str">
        <f t="shared" si="0"/>
        <v>insert into dw_srm.dim_td_score_cat values (5,'[41, 50]');</v>
      </c>
    </row>
    <row r="8" spans="1:4" x14ac:dyDescent="0.35">
      <c r="A8">
        <v>6</v>
      </c>
      <c r="B8" t="s">
        <v>426</v>
      </c>
      <c r="D8" t="str">
        <f t="shared" si="0"/>
        <v>insert into dw_srm.dim_td_score_cat values (6,'[51, 60]');</v>
      </c>
    </row>
    <row r="9" spans="1:4" x14ac:dyDescent="0.35">
      <c r="A9">
        <v>7</v>
      </c>
      <c r="B9" t="s">
        <v>427</v>
      </c>
      <c r="D9" t="str">
        <f t="shared" si="0"/>
        <v>insert into dw_srm.dim_td_score_cat values (7,'[61, 70]');</v>
      </c>
    </row>
    <row r="10" spans="1:4" x14ac:dyDescent="0.35">
      <c r="A10">
        <v>8</v>
      </c>
      <c r="B10" t="s">
        <v>428</v>
      </c>
      <c r="D10" t="str">
        <f t="shared" si="0"/>
        <v>insert into dw_srm.dim_td_score_cat values (8,'[71, 80]');</v>
      </c>
    </row>
    <row r="11" spans="1:4" x14ac:dyDescent="0.35">
      <c r="A11">
        <v>9</v>
      </c>
      <c r="B11" t="s">
        <v>429</v>
      </c>
      <c r="D11" t="str">
        <f t="shared" si="0"/>
        <v>insert into dw_srm.dim_td_score_cat values (9,'[81, 90]');</v>
      </c>
    </row>
    <row r="12" spans="1:4" x14ac:dyDescent="0.35">
      <c r="A12">
        <v>10</v>
      </c>
      <c r="B12" t="s">
        <v>471</v>
      </c>
      <c r="D12" t="str">
        <f t="shared" si="0"/>
        <v>insert into dw_srm.dim_td_score_cat values (10,'[91, 100]');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5" sqref="B5"/>
    </sheetView>
  </sheetViews>
  <sheetFormatPr defaultRowHeight="16.5" x14ac:dyDescent="0.35"/>
  <cols>
    <col min="1" max="1" width="15.125" bestFit="1" customWidth="1"/>
    <col min="2" max="2" width="19.875" bestFit="1" customWidth="1"/>
    <col min="4" max="4" width="54" bestFit="1" customWidth="1"/>
  </cols>
  <sheetData>
    <row r="1" spans="1:4" x14ac:dyDescent="0.35">
      <c r="A1" t="s">
        <v>430</v>
      </c>
      <c r="B1" t="s">
        <v>431</v>
      </c>
    </row>
    <row r="2" spans="1:4" x14ac:dyDescent="0.35">
      <c r="A2">
        <v>0</v>
      </c>
      <c r="B2" t="s">
        <v>348</v>
      </c>
      <c r="D2" t="str">
        <f>"insert into dw_srm.dim_td_platform_7d_cat values ("&amp;A2&amp;",'"&amp;B2&amp;"');"</f>
        <v>insert into dw_srm.dim_td_platform_7d_cat values (0,'缺失');</v>
      </c>
    </row>
    <row r="3" spans="1:4" x14ac:dyDescent="0.35">
      <c r="A3">
        <v>1</v>
      </c>
      <c r="B3" t="s">
        <v>473</v>
      </c>
      <c r="D3" t="str">
        <f t="shared" ref="D3:D8" si="0">"insert into dw_srm.dim_td_platform_7d_cat values ("&amp;A3&amp;",'"&amp;B3&amp;"');"</f>
        <v>insert into dw_srm.dim_td_platform_7d_cat values (1,'[1, 5]');</v>
      </c>
    </row>
    <row r="4" spans="1:4" x14ac:dyDescent="0.35">
      <c r="A4">
        <v>2</v>
      </c>
      <c r="B4" t="s">
        <v>474</v>
      </c>
      <c r="D4" t="str">
        <f t="shared" si="0"/>
        <v>insert into dw_srm.dim_td_platform_7d_cat values (2,'[6, 10]');</v>
      </c>
    </row>
    <row r="5" spans="1:4" x14ac:dyDescent="0.35">
      <c r="A5">
        <v>3</v>
      </c>
      <c r="B5" t="s">
        <v>475</v>
      </c>
      <c r="D5" t="str">
        <f t="shared" si="0"/>
        <v>insert into dw_srm.dim_td_platform_7d_cat values (3,'[11, 20]');</v>
      </c>
    </row>
    <row r="6" spans="1:4" x14ac:dyDescent="0.35">
      <c r="A6">
        <v>4</v>
      </c>
      <c r="B6" t="s">
        <v>470</v>
      </c>
      <c r="D6" t="str">
        <f t="shared" si="0"/>
        <v>insert into dw_srm.dim_td_platform_7d_cat values (4,'[21, 30]');</v>
      </c>
    </row>
    <row r="7" spans="1:4" x14ac:dyDescent="0.35">
      <c r="A7">
        <v>5</v>
      </c>
      <c r="B7" t="s">
        <v>476</v>
      </c>
      <c r="D7" t="str">
        <f t="shared" si="0"/>
        <v>insert into dw_srm.dim_td_platform_7d_cat values (5,'[26, 30]');</v>
      </c>
    </row>
    <row r="8" spans="1:4" x14ac:dyDescent="0.35">
      <c r="A8">
        <v>6</v>
      </c>
      <c r="B8" t="s">
        <v>477</v>
      </c>
      <c r="D8" t="str">
        <f t="shared" si="0"/>
        <v>insert into dw_srm.dim_td_platform_7d_cat values (6,'[31, +)');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6.5" x14ac:dyDescent="0.35"/>
  <cols>
    <col min="1" max="1" width="15.125" bestFit="1" customWidth="1"/>
    <col min="2" max="2" width="19.875" bestFit="1" customWidth="1"/>
    <col min="4" max="4" width="52.875" bestFit="1" customWidth="1"/>
  </cols>
  <sheetData>
    <row r="1" spans="1:4" x14ac:dyDescent="0.35">
      <c r="A1" t="s">
        <v>510</v>
      </c>
      <c r="B1" t="s">
        <v>496</v>
      </c>
    </row>
    <row r="2" spans="1:4" x14ac:dyDescent="0.35">
      <c r="A2">
        <v>0</v>
      </c>
      <c r="B2" t="s">
        <v>497</v>
      </c>
      <c r="D2" t="str">
        <f>"insert into dw_srm.dim_graduate_cat values ("&amp;A2&amp;",'"&amp;B2&amp;"');"</f>
        <v>insert into dw_srm.dim_graduate_cat values (0,'未毕业');</v>
      </c>
    </row>
    <row r="3" spans="1:4" x14ac:dyDescent="0.35">
      <c r="A3">
        <v>1</v>
      </c>
      <c r="B3" t="s">
        <v>498</v>
      </c>
      <c r="D3" t="str">
        <f>"insert into dw_srm.dim_graduate_cat values ("&amp;A3&amp;",'"&amp;B3&amp;"');"</f>
        <v>insert into dw_srm.dim_graduate_cat values (1,'已毕业');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6.5" x14ac:dyDescent="0.35"/>
  <cols>
    <col min="1" max="1" width="12.75" bestFit="1" customWidth="1"/>
    <col min="2" max="2" width="17.5" bestFit="1" customWidth="1"/>
    <col min="4" max="4" width="47.375" bestFit="1" customWidth="1"/>
  </cols>
  <sheetData>
    <row r="1" spans="1:4" x14ac:dyDescent="0.35">
      <c r="A1" t="s">
        <v>499</v>
      </c>
      <c r="B1" t="s">
        <v>500</v>
      </c>
    </row>
    <row r="2" spans="1:4" x14ac:dyDescent="0.35">
      <c r="A2">
        <v>0</v>
      </c>
      <c r="B2" t="s">
        <v>501</v>
      </c>
      <c r="D2" t="str">
        <f>"insert into dw_srm.dim_amc_cat values ("&amp;A2&amp;",'"&amp;B2&amp;"');"</f>
        <v>insert into dw_srm.dim_amc_cat values (0,'非AMC');</v>
      </c>
    </row>
    <row r="3" spans="1:4" x14ac:dyDescent="0.35">
      <c r="A3">
        <v>1</v>
      </c>
      <c r="B3" t="s">
        <v>502</v>
      </c>
      <c r="D3" t="str">
        <f>"insert into dw_srm.dim_amc_cat values ("&amp;A3&amp;",'"&amp;B3&amp;"');"</f>
        <v>insert into dw_srm.dim_amc_cat values (1,'第1秕AMC');</v>
      </c>
    </row>
    <row r="4" spans="1:4" x14ac:dyDescent="0.35">
      <c r="A4">
        <v>2</v>
      </c>
      <c r="B4" t="s">
        <v>503</v>
      </c>
      <c r="D4" t="str">
        <f>"insert into dw_srm.dim_amc_cat values ("&amp;A4&amp;",'"&amp;B4&amp;"');"</f>
        <v>insert into dw_srm.dim_amc_cat values (2,'第2批AMC');</v>
      </c>
    </row>
    <row r="5" spans="1:4" x14ac:dyDescent="0.35">
      <c r="A5">
        <v>3</v>
      </c>
      <c r="B5" t="s">
        <v>511</v>
      </c>
      <c r="D5" t="str">
        <f>"insert into dw_srm.dim_amc_cat values ("&amp;A5&amp;",'"&amp;B5&amp;"');"</f>
        <v>insert into dw_srm.dim_amc_cat values (3,'第3批AMC');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6" sqref="D6"/>
    </sheetView>
  </sheetViews>
  <sheetFormatPr defaultRowHeight="16.5" x14ac:dyDescent="0.35"/>
  <cols>
    <col min="1" max="1" width="16.75" bestFit="1" customWidth="1"/>
    <col min="2" max="2" width="21.5" bestFit="1" customWidth="1"/>
    <col min="4" max="4" width="62.375" bestFit="1" customWidth="1"/>
  </cols>
  <sheetData>
    <row r="1" spans="1:4" x14ac:dyDescent="0.35">
      <c r="A1" t="s">
        <v>507</v>
      </c>
      <c r="B1" t="s">
        <v>504</v>
      </c>
    </row>
    <row r="2" spans="1:4" x14ac:dyDescent="0.35">
      <c r="A2">
        <v>0</v>
      </c>
      <c r="B2" t="s">
        <v>505</v>
      </c>
      <c r="D2" t="str">
        <f>"insert into dw_srm.dim_overdue_m3p_cat values ("&amp;A2&amp;",'"&amp;B2&amp;"');"</f>
        <v>insert into dw_srm.dim_overdue_m3p_cat values (0,'否');</v>
      </c>
    </row>
    <row r="3" spans="1:4" x14ac:dyDescent="0.35">
      <c r="A3">
        <v>1</v>
      </c>
      <c r="B3" t="s">
        <v>506</v>
      </c>
      <c r="D3" t="str">
        <f>"insert into dw_srm.dim_overdue_m3p_cat values ("&amp;A3&amp;",'"&amp;B3&amp;"');"</f>
        <v>insert into dw_srm.dim_overdue_m3p_cat values (1,'是');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0" sqref="D10"/>
    </sheetView>
  </sheetViews>
  <sheetFormatPr defaultRowHeight="16.5" x14ac:dyDescent="0.35"/>
  <cols>
    <col min="1" max="1" width="16.75" bestFit="1" customWidth="1"/>
    <col min="2" max="2" width="21.5" bestFit="1" customWidth="1"/>
    <col min="4" max="4" width="62.375" bestFit="1" customWidth="1"/>
  </cols>
  <sheetData>
    <row r="1" spans="1:4" x14ac:dyDescent="0.35">
      <c r="A1" t="s">
        <v>508</v>
      </c>
      <c r="B1" t="s">
        <v>509</v>
      </c>
    </row>
    <row r="2" spans="1:4" x14ac:dyDescent="0.35">
      <c r="A2">
        <v>0</v>
      </c>
      <c r="B2" t="s">
        <v>505</v>
      </c>
      <c r="D2" t="str">
        <f>"insert into dw_srm.dim_overdue_m6p_cat values ("&amp;A2&amp;",'"&amp;B2&amp;"');"</f>
        <v>insert into dw_srm.dim_overdue_m6p_cat values (0,'否');</v>
      </c>
    </row>
    <row r="3" spans="1:4" x14ac:dyDescent="0.35">
      <c r="A3">
        <v>1</v>
      </c>
      <c r="B3" t="s">
        <v>506</v>
      </c>
      <c r="D3" t="str">
        <f>"insert into dw_srm.dim_overdue_m6p_cat values ("&amp;A3&amp;",'"&amp;B3&amp;"');"</f>
        <v>insert into dw_srm.dim_overdue_m6p_cat values (1,'是');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fact_vintage_snapshot_m</vt:lpstr>
      <vt:lpstr>dim_user_cat</vt:lpstr>
      <vt:lpstr>dim_level_cat</vt:lpstr>
      <vt:lpstr>dim_mob</vt:lpstr>
      <vt:lpstr>dim_expect_cat</vt:lpstr>
      <vt:lpstr>dim_product_cat</vt:lpstr>
      <vt:lpstr>dim_date</vt:lpstr>
      <vt:lpstr>dim_gender_cat</vt:lpstr>
      <vt:lpstr>dim_age_cat</vt:lpstr>
      <vt:lpstr>dim_education_cat</vt:lpstr>
      <vt:lpstr>dim_school_cat</vt:lpstr>
      <vt:lpstr>dim_loan_amt_cat</vt:lpstr>
      <vt:lpstr>dim_region_cat</vt:lpstr>
      <vt:lpstr>dim_td_score_cat</vt:lpstr>
      <vt:lpstr>dim_td_platform_7d_cat</vt:lpstr>
      <vt:lpstr>dim_graduate_cat</vt:lpstr>
      <vt:lpstr>dim_amc_cat</vt:lpstr>
      <vt:lpstr>dim_overdue_m3p_cat</vt:lpstr>
      <vt:lpstr>dim_overdue_m6p_cat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2018-11-26T01:30:54Z</dcterms:created>
  <dcterms:modified xsi:type="dcterms:W3CDTF">2019-01-14T07:51:24Z</dcterms:modified>
</cp:coreProperties>
</file>